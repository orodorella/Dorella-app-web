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davidgomezpaez/Desktop/RE-E DORELLA/NEW DORELLA JUN 2026/"/>
    </mc:Choice>
  </mc:AlternateContent>
  <xr:revisionPtr revIDLastSave="0" documentId="13_ncr:1_{CD1A395E-BBA0-E640-9E43-613DBE00EDAD}" xr6:coauthVersionLast="47" xr6:coauthVersionMax="47" xr10:uidLastSave="{00000000-0000-0000-0000-000000000000}"/>
  <bookViews>
    <workbookView xWindow="0" yWindow="660" windowWidth="29400" windowHeight="16900" xr2:uid="{1263BF6A-076D-EF40-AFD6-BC147F9985DD}"/>
  </bookViews>
  <sheets>
    <sheet name="TOPOS Y CANDONGAS" sheetId="1" r:id="rId1"/>
    <sheet name="HERRAJES" sheetId="2" r:id="rId2"/>
    <sheet name="BALINERIA" sheetId="3" r:id="rId3"/>
    <sheet name="DIJES" sheetId="4" r:id="rId4"/>
    <sheet name="CADENERIA" sheetId="5" r:id="rId5"/>
    <sheet name="PULSERAS" sheetId="6" r:id="rId6"/>
    <sheet name="TOBILLERAS" sheetId="7" r:id="rId7"/>
    <sheet name="INSUMO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7" i="2" l="1"/>
  <c r="I127" i="2"/>
  <c r="J127" i="2" s="1"/>
  <c r="K127" i="2" s="1"/>
  <c r="H126" i="2"/>
  <c r="I126" i="2"/>
  <c r="J126" i="2" s="1"/>
  <c r="K126" i="2" s="1"/>
  <c r="I28" i="3"/>
  <c r="J28" i="3" s="1"/>
  <c r="K28" i="3" s="1"/>
  <c r="H173" i="4"/>
  <c r="I173" i="4" s="1"/>
  <c r="J173" i="4" s="1"/>
  <c r="K173" i="4" s="1"/>
  <c r="H125" i="2"/>
  <c r="I125" i="2"/>
  <c r="J125" i="2" s="1"/>
  <c r="K125" i="2" s="1"/>
  <c r="H124" i="2"/>
  <c r="I124" i="2"/>
  <c r="J124" i="2" s="1"/>
  <c r="K124" i="2" s="1"/>
  <c r="H123" i="2"/>
  <c r="I123" i="2"/>
  <c r="J123" i="2" s="1"/>
  <c r="K123" i="2" s="1"/>
  <c r="H160" i="1"/>
  <c r="I160" i="1"/>
  <c r="J160" i="1" s="1"/>
  <c r="K160" i="1" s="1"/>
  <c r="H159" i="1"/>
  <c r="I159" i="1"/>
  <c r="J159" i="1" s="1"/>
  <c r="K159" i="1" s="1"/>
  <c r="H158" i="1"/>
  <c r="I158" i="1"/>
  <c r="J158" i="1" s="1"/>
  <c r="K158" i="1" s="1"/>
  <c r="H157" i="1"/>
  <c r="I157" i="1"/>
  <c r="J157" i="1" s="1"/>
  <c r="K157" i="1" s="1"/>
  <c r="H156" i="1"/>
  <c r="I156" i="1"/>
  <c r="J156" i="1" s="1"/>
  <c r="K156" i="1" s="1"/>
  <c r="H172" i="4"/>
  <c r="I172" i="4"/>
  <c r="J172" i="4" s="1"/>
  <c r="K172" i="4" s="1"/>
  <c r="H87" i="5"/>
  <c r="I87" i="5"/>
  <c r="J87" i="5" s="1"/>
  <c r="K87" i="5" s="1"/>
  <c r="H86" i="5"/>
  <c r="I86" i="5"/>
  <c r="J86" i="5" s="1"/>
  <c r="K86" i="5" s="1"/>
  <c r="H85" i="5"/>
  <c r="I85" i="5"/>
  <c r="J85" i="5" s="1"/>
  <c r="K85" i="5" s="1"/>
  <c r="H84" i="5"/>
  <c r="I84" i="5"/>
  <c r="J84" i="5" s="1"/>
  <c r="K84" i="5" s="1"/>
  <c r="H7" i="5"/>
  <c r="H122" i="2"/>
  <c r="I122" i="2"/>
  <c r="J122" i="2" s="1"/>
  <c r="K122" i="2" s="1"/>
  <c r="H121" i="2"/>
  <c r="I121" i="2"/>
  <c r="J121" i="2" s="1"/>
  <c r="K121" i="2" s="1"/>
  <c r="H120" i="2"/>
  <c r="I120" i="2"/>
  <c r="J120" i="2" s="1"/>
  <c r="K120" i="2" s="1"/>
  <c r="H119" i="2"/>
  <c r="I119" i="2"/>
  <c r="J119" i="2" s="1"/>
  <c r="K119" i="2" s="1"/>
  <c r="H118" i="2"/>
  <c r="I118" i="2"/>
  <c r="J118" i="2" s="1"/>
  <c r="K118" i="2" s="1"/>
  <c r="H117" i="2"/>
  <c r="I117" i="2"/>
  <c r="J117" i="2" s="1"/>
  <c r="K117" i="2" s="1"/>
  <c r="H116" i="2"/>
  <c r="I116" i="2"/>
  <c r="J116" i="2" s="1"/>
  <c r="K116" i="2" s="1"/>
  <c r="H115" i="2"/>
  <c r="I115" i="2"/>
  <c r="J115" i="2" s="1"/>
  <c r="K115" i="2" s="1"/>
  <c r="H114" i="2"/>
  <c r="I114" i="2"/>
  <c r="J114" i="2" s="1"/>
  <c r="K114" i="2" s="1"/>
  <c r="H113" i="2"/>
  <c r="I113" i="2" s="1"/>
  <c r="J113" i="2" s="1"/>
  <c r="K113" i="2" s="1"/>
  <c r="H14" i="5" l="1"/>
  <c r="H155" i="1"/>
  <c r="I155" i="1" s="1"/>
  <c r="J155" i="1" s="1"/>
  <c r="K155" i="1" s="1"/>
  <c r="H154" i="1"/>
  <c r="I154" i="1" s="1"/>
  <c r="J154" i="1" s="1"/>
  <c r="K154" i="1" s="1"/>
  <c r="H153" i="1"/>
  <c r="I153" i="1" s="1"/>
  <c r="J153" i="1" s="1"/>
  <c r="K153" i="1" s="1"/>
  <c r="H152" i="1"/>
  <c r="I152" i="1"/>
  <c r="J152" i="1" s="1"/>
  <c r="K152" i="1" s="1"/>
  <c r="H112" i="2"/>
  <c r="I112" i="2"/>
  <c r="J112" i="2" s="1"/>
  <c r="K112" i="2" s="1"/>
  <c r="H111" i="2"/>
  <c r="I111" i="2"/>
  <c r="J111" i="2" s="1"/>
  <c r="K111" i="2" s="1"/>
  <c r="H30" i="6"/>
  <c r="H171" i="4"/>
  <c r="I171" i="4"/>
  <c r="J171" i="4" s="1"/>
  <c r="K171" i="4" s="1"/>
  <c r="H49" i="5"/>
  <c r="H170" i="4"/>
  <c r="I170" i="4"/>
  <c r="J170" i="4" s="1"/>
  <c r="K170" i="4" s="1"/>
  <c r="H169" i="4"/>
  <c r="I169" i="4"/>
  <c r="J169" i="4" s="1"/>
  <c r="K169" i="4" s="1"/>
  <c r="H168" i="4"/>
  <c r="I168" i="4"/>
  <c r="J168" i="4" s="1"/>
  <c r="K168" i="4" s="1"/>
  <c r="H167" i="4"/>
  <c r="I167" i="4" s="1"/>
  <c r="J167" i="4" s="1"/>
  <c r="K167" i="4" s="1"/>
  <c r="H166" i="4"/>
  <c r="I166" i="4" s="1"/>
  <c r="J166" i="4" s="1"/>
  <c r="K166" i="4" s="1"/>
  <c r="H165" i="4"/>
  <c r="I165" i="4" s="1"/>
  <c r="J165" i="4" s="1"/>
  <c r="K165" i="4" s="1"/>
  <c r="H164" i="4"/>
  <c r="I164" i="4" s="1"/>
  <c r="J164" i="4" s="1"/>
  <c r="K164" i="4" s="1"/>
  <c r="H163" i="4"/>
  <c r="I163" i="4"/>
  <c r="J163" i="4" s="1"/>
  <c r="K163" i="4" s="1"/>
  <c r="I6" i="8" l="1"/>
  <c r="I7" i="8"/>
  <c r="I8" i="8"/>
  <c r="I9" i="8"/>
  <c r="I10" i="8"/>
  <c r="I11" i="8"/>
  <c r="I12" i="8"/>
  <c r="I13" i="8"/>
  <c r="I14" i="8"/>
  <c r="J14" i="8" s="1"/>
  <c r="I15" i="8"/>
  <c r="J15" i="8" s="1"/>
  <c r="I16" i="8"/>
  <c r="J16" i="8" s="1"/>
  <c r="I17" i="8"/>
  <c r="J17" i="8" s="1"/>
  <c r="I18" i="8"/>
  <c r="I19" i="8"/>
  <c r="J19" i="8" s="1"/>
  <c r="I20" i="8"/>
  <c r="J20" i="8" s="1"/>
  <c r="I21" i="8"/>
  <c r="J21" i="8" s="1"/>
  <c r="I22" i="8"/>
  <c r="J22" i="8" s="1"/>
  <c r="I23" i="8"/>
  <c r="I24" i="8"/>
  <c r="I25" i="8"/>
  <c r="I26" i="8"/>
  <c r="I27" i="8"/>
  <c r="I28" i="8"/>
  <c r="I29" i="8"/>
  <c r="I30" i="8"/>
  <c r="I31" i="8"/>
  <c r="I32" i="8"/>
  <c r="I33" i="8"/>
  <c r="I34" i="8"/>
  <c r="J34" i="8" s="1"/>
  <c r="I35" i="8"/>
  <c r="J35" i="8" s="1"/>
  <c r="I36" i="8"/>
  <c r="J36" i="8" s="1"/>
  <c r="I37" i="8"/>
  <c r="J37" i="8" s="1"/>
  <c r="I38" i="8"/>
  <c r="J38" i="8" s="1"/>
  <c r="I39" i="8"/>
  <c r="J39" i="8" s="1"/>
  <c r="I40" i="8"/>
  <c r="I41" i="8"/>
  <c r="I42" i="8"/>
  <c r="I43" i="8"/>
  <c r="I44" i="8"/>
  <c r="I45" i="8"/>
  <c r="I46" i="8"/>
  <c r="I47" i="8"/>
  <c r="I48" i="8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J99" i="2" s="1"/>
  <c r="I100" i="2"/>
  <c r="I101" i="2"/>
  <c r="I102" i="2"/>
  <c r="I103" i="2"/>
  <c r="I104" i="2"/>
  <c r="I105" i="2"/>
  <c r="I106" i="2"/>
  <c r="I107" i="2"/>
  <c r="I108" i="2"/>
  <c r="I109" i="2"/>
  <c r="I110" i="2"/>
  <c r="I83" i="5" l="1"/>
  <c r="J83" i="5" s="1"/>
  <c r="K83" i="5" s="1"/>
  <c r="I82" i="5"/>
  <c r="J82" i="5" s="1"/>
  <c r="K82" i="5" s="1"/>
  <c r="J110" i="2"/>
  <c r="I151" i="1"/>
  <c r="J151" i="1" s="1"/>
  <c r="K151" i="1" s="1"/>
  <c r="J109" i="2"/>
  <c r="K109" i="2" s="1"/>
  <c r="J104" i="2"/>
  <c r="K104" i="2" s="1"/>
  <c r="J105" i="2"/>
  <c r="K105" i="2" s="1"/>
  <c r="J106" i="2"/>
  <c r="K106" i="2" s="1"/>
  <c r="J107" i="2"/>
  <c r="K107" i="2" s="1"/>
  <c r="J108" i="2"/>
  <c r="K108" i="2" s="1"/>
  <c r="H162" i="4"/>
  <c r="I162" i="4"/>
  <c r="J162" i="4" s="1"/>
  <c r="K162" i="4" s="1"/>
  <c r="H161" i="4"/>
  <c r="I161" i="4" s="1"/>
  <c r="J161" i="4" s="1"/>
  <c r="K161" i="4" s="1"/>
  <c r="I7" i="4"/>
  <c r="J7" i="4" s="1"/>
  <c r="K7" i="4" s="1"/>
  <c r="I8" i="4"/>
  <c r="J8" i="4" s="1"/>
  <c r="K8" i="4" s="1"/>
  <c r="I9" i="4"/>
  <c r="J9" i="4" s="1"/>
  <c r="K9" i="4" s="1"/>
  <c r="I10" i="4"/>
  <c r="J10" i="4" s="1"/>
  <c r="K10" i="4" s="1"/>
  <c r="I11" i="4"/>
  <c r="J11" i="4" s="1"/>
  <c r="K11" i="4" s="1"/>
  <c r="I12" i="4"/>
  <c r="J12" i="4" s="1"/>
  <c r="K12" i="4" s="1"/>
  <c r="I13" i="4"/>
  <c r="J13" i="4" s="1"/>
  <c r="K13" i="4" s="1"/>
  <c r="I14" i="4"/>
  <c r="J14" i="4" s="1"/>
  <c r="K14" i="4" s="1"/>
  <c r="I15" i="4"/>
  <c r="J15" i="4" s="1"/>
  <c r="K15" i="4" s="1"/>
  <c r="I16" i="4"/>
  <c r="J16" i="4" s="1"/>
  <c r="K16" i="4" s="1"/>
  <c r="I17" i="4"/>
  <c r="J17" i="4" s="1"/>
  <c r="K17" i="4" s="1"/>
  <c r="I18" i="4"/>
  <c r="J18" i="4" s="1"/>
  <c r="K18" i="4" s="1"/>
  <c r="I19" i="4"/>
  <c r="J19" i="4" s="1"/>
  <c r="K19" i="4" s="1"/>
  <c r="I20" i="4"/>
  <c r="J20" i="4" s="1"/>
  <c r="K20" i="4" s="1"/>
  <c r="I21" i="4"/>
  <c r="J21" i="4" s="1"/>
  <c r="K21" i="4" s="1"/>
  <c r="I22" i="4"/>
  <c r="J22" i="4" s="1"/>
  <c r="K22" i="4" s="1"/>
  <c r="I23" i="4"/>
  <c r="J23" i="4" s="1"/>
  <c r="K23" i="4" s="1"/>
  <c r="I24" i="4"/>
  <c r="J24" i="4" s="1"/>
  <c r="K24" i="4" s="1"/>
  <c r="I25" i="4"/>
  <c r="J25" i="4" s="1"/>
  <c r="K25" i="4" s="1"/>
  <c r="I26" i="4"/>
  <c r="J26" i="4" s="1"/>
  <c r="K26" i="4" s="1"/>
  <c r="I27" i="4"/>
  <c r="J27" i="4" s="1"/>
  <c r="K27" i="4" s="1"/>
  <c r="I28" i="4"/>
  <c r="J28" i="4" s="1"/>
  <c r="K28" i="4" s="1"/>
  <c r="I29" i="4"/>
  <c r="J29" i="4" s="1"/>
  <c r="K29" i="4" s="1"/>
  <c r="I30" i="4"/>
  <c r="J30" i="4" s="1"/>
  <c r="K30" i="4" s="1"/>
  <c r="I31" i="4"/>
  <c r="J31" i="4" s="1"/>
  <c r="K31" i="4" s="1"/>
  <c r="I32" i="4"/>
  <c r="J32" i="4" s="1"/>
  <c r="K32" i="4" s="1"/>
  <c r="I33" i="4"/>
  <c r="J33" i="4" s="1"/>
  <c r="K33" i="4" s="1"/>
  <c r="I34" i="4"/>
  <c r="J34" i="4" s="1"/>
  <c r="K34" i="4" s="1"/>
  <c r="I35" i="4"/>
  <c r="J35" i="4" s="1"/>
  <c r="K35" i="4" s="1"/>
  <c r="I36" i="4"/>
  <c r="J36" i="4" s="1"/>
  <c r="K36" i="4" s="1"/>
  <c r="I37" i="4"/>
  <c r="J37" i="4" s="1"/>
  <c r="K37" i="4" s="1"/>
  <c r="I38" i="4"/>
  <c r="J38" i="4" s="1"/>
  <c r="K38" i="4" s="1"/>
  <c r="I39" i="4"/>
  <c r="J39" i="4" s="1"/>
  <c r="K39" i="4" s="1"/>
  <c r="I40" i="4"/>
  <c r="J40" i="4" s="1"/>
  <c r="K40" i="4" s="1"/>
  <c r="I41" i="4"/>
  <c r="J41" i="4" s="1"/>
  <c r="K41" i="4" s="1"/>
  <c r="I42" i="4"/>
  <c r="J42" i="4" s="1"/>
  <c r="K42" i="4" s="1"/>
  <c r="I43" i="4"/>
  <c r="J43" i="4" s="1"/>
  <c r="K43" i="4" s="1"/>
  <c r="I44" i="4"/>
  <c r="J44" i="4" s="1"/>
  <c r="K44" i="4" s="1"/>
  <c r="I45" i="4"/>
  <c r="J45" i="4" s="1"/>
  <c r="K45" i="4" s="1"/>
  <c r="I46" i="4"/>
  <c r="J46" i="4" s="1"/>
  <c r="K46" i="4" s="1"/>
  <c r="I47" i="4"/>
  <c r="J47" i="4" s="1"/>
  <c r="K47" i="4" s="1"/>
  <c r="I48" i="4"/>
  <c r="J48" i="4" s="1"/>
  <c r="K48" i="4" s="1"/>
  <c r="I49" i="4"/>
  <c r="J49" i="4" s="1"/>
  <c r="K49" i="4" s="1"/>
  <c r="I50" i="4"/>
  <c r="J50" i="4" s="1"/>
  <c r="K50" i="4" s="1"/>
  <c r="I51" i="4"/>
  <c r="J51" i="4" s="1"/>
  <c r="K51" i="4" s="1"/>
  <c r="I52" i="4"/>
  <c r="J52" i="4" s="1"/>
  <c r="K52" i="4" s="1"/>
  <c r="I53" i="4"/>
  <c r="J53" i="4" s="1"/>
  <c r="K53" i="4" s="1"/>
  <c r="I54" i="4"/>
  <c r="J54" i="4" s="1"/>
  <c r="K54" i="4" s="1"/>
  <c r="I55" i="4"/>
  <c r="J55" i="4" s="1"/>
  <c r="K55" i="4" s="1"/>
  <c r="I56" i="4"/>
  <c r="J56" i="4" s="1"/>
  <c r="K56" i="4" s="1"/>
  <c r="I57" i="4"/>
  <c r="J57" i="4" s="1"/>
  <c r="K57" i="4" s="1"/>
  <c r="I58" i="4"/>
  <c r="J58" i="4" s="1"/>
  <c r="K58" i="4" s="1"/>
  <c r="I59" i="4"/>
  <c r="J59" i="4" s="1"/>
  <c r="K59" i="4" s="1"/>
  <c r="I60" i="4"/>
  <c r="J60" i="4" s="1"/>
  <c r="K60" i="4" s="1"/>
  <c r="I61" i="4"/>
  <c r="J61" i="4" s="1"/>
  <c r="K61" i="4" s="1"/>
  <c r="I62" i="4"/>
  <c r="J62" i="4" s="1"/>
  <c r="K62" i="4" s="1"/>
  <c r="I63" i="4"/>
  <c r="J63" i="4" s="1"/>
  <c r="K63" i="4" s="1"/>
  <c r="I64" i="4"/>
  <c r="J64" i="4" s="1"/>
  <c r="K64" i="4" s="1"/>
  <c r="I65" i="4"/>
  <c r="J65" i="4" s="1"/>
  <c r="K65" i="4" s="1"/>
  <c r="I66" i="4"/>
  <c r="J66" i="4" s="1"/>
  <c r="K66" i="4" s="1"/>
  <c r="I67" i="4"/>
  <c r="J67" i="4" s="1"/>
  <c r="K67" i="4" s="1"/>
  <c r="I68" i="4"/>
  <c r="J68" i="4" s="1"/>
  <c r="K68" i="4" s="1"/>
  <c r="I69" i="4"/>
  <c r="J69" i="4" s="1"/>
  <c r="K69" i="4" s="1"/>
  <c r="I70" i="4"/>
  <c r="J70" i="4" s="1"/>
  <c r="K70" i="4" s="1"/>
  <c r="I71" i="4"/>
  <c r="J71" i="4" s="1"/>
  <c r="K71" i="4" s="1"/>
  <c r="I72" i="4"/>
  <c r="J72" i="4" s="1"/>
  <c r="K72" i="4" s="1"/>
  <c r="I73" i="4"/>
  <c r="J73" i="4" s="1"/>
  <c r="K73" i="4" s="1"/>
  <c r="I74" i="4"/>
  <c r="J74" i="4" s="1"/>
  <c r="K74" i="4" s="1"/>
  <c r="I75" i="4"/>
  <c r="J75" i="4" s="1"/>
  <c r="K75" i="4" s="1"/>
  <c r="I76" i="4"/>
  <c r="J76" i="4" s="1"/>
  <c r="K76" i="4" s="1"/>
  <c r="I77" i="4"/>
  <c r="J77" i="4" s="1"/>
  <c r="K77" i="4" s="1"/>
  <c r="I78" i="4"/>
  <c r="J78" i="4" s="1"/>
  <c r="K78" i="4" s="1"/>
  <c r="I79" i="4"/>
  <c r="J79" i="4" s="1"/>
  <c r="K79" i="4" s="1"/>
  <c r="I80" i="4"/>
  <c r="J80" i="4" s="1"/>
  <c r="K80" i="4" s="1"/>
  <c r="I81" i="4"/>
  <c r="J81" i="4" s="1"/>
  <c r="K81" i="4" s="1"/>
  <c r="I82" i="4"/>
  <c r="J82" i="4" s="1"/>
  <c r="K82" i="4" s="1"/>
  <c r="I83" i="4"/>
  <c r="J83" i="4" s="1"/>
  <c r="K83" i="4" s="1"/>
  <c r="I84" i="4"/>
  <c r="J84" i="4" s="1"/>
  <c r="K84" i="4" s="1"/>
  <c r="I85" i="4"/>
  <c r="J85" i="4" s="1"/>
  <c r="K85" i="4" s="1"/>
  <c r="I86" i="4"/>
  <c r="J86" i="4" s="1"/>
  <c r="K86" i="4" s="1"/>
  <c r="I87" i="4"/>
  <c r="J87" i="4" s="1"/>
  <c r="K87" i="4" s="1"/>
  <c r="I88" i="4"/>
  <c r="J88" i="4" s="1"/>
  <c r="K88" i="4" s="1"/>
  <c r="I89" i="4"/>
  <c r="J89" i="4" s="1"/>
  <c r="K89" i="4" s="1"/>
  <c r="I90" i="4"/>
  <c r="J90" i="4" s="1"/>
  <c r="K90" i="4" s="1"/>
  <c r="I91" i="4"/>
  <c r="J91" i="4" s="1"/>
  <c r="K91" i="4" s="1"/>
  <c r="I92" i="4"/>
  <c r="J92" i="4" s="1"/>
  <c r="K92" i="4" s="1"/>
  <c r="I93" i="4"/>
  <c r="J93" i="4" s="1"/>
  <c r="K93" i="4" s="1"/>
  <c r="I94" i="4"/>
  <c r="J94" i="4" s="1"/>
  <c r="K94" i="4" s="1"/>
  <c r="I95" i="4"/>
  <c r="J95" i="4" s="1"/>
  <c r="K95" i="4" s="1"/>
  <c r="I96" i="4"/>
  <c r="J96" i="4" s="1"/>
  <c r="K96" i="4" s="1"/>
  <c r="I97" i="4"/>
  <c r="J97" i="4" s="1"/>
  <c r="K97" i="4" s="1"/>
  <c r="I98" i="4"/>
  <c r="J98" i="4" s="1"/>
  <c r="K98" i="4" s="1"/>
  <c r="I99" i="4"/>
  <c r="J99" i="4" s="1"/>
  <c r="K99" i="4" s="1"/>
  <c r="I100" i="4"/>
  <c r="J100" i="4" s="1"/>
  <c r="K100" i="4" s="1"/>
  <c r="I101" i="4"/>
  <c r="J101" i="4" s="1"/>
  <c r="K101" i="4" s="1"/>
  <c r="I102" i="4"/>
  <c r="J102" i="4" s="1"/>
  <c r="K102" i="4" s="1"/>
  <c r="I103" i="4"/>
  <c r="J103" i="4" s="1"/>
  <c r="K103" i="4" s="1"/>
  <c r="I104" i="4"/>
  <c r="J104" i="4" s="1"/>
  <c r="K104" i="4" s="1"/>
  <c r="I105" i="4"/>
  <c r="J105" i="4" s="1"/>
  <c r="K105" i="4" s="1"/>
  <c r="I106" i="4"/>
  <c r="J106" i="4" s="1"/>
  <c r="K106" i="4" s="1"/>
  <c r="I107" i="4"/>
  <c r="J107" i="4" s="1"/>
  <c r="K107" i="4" s="1"/>
  <c r="I108" i="4"/>
  <c r="J108" i="4" s="1"/>
  <c r="K108" i="4" s="1"/>
  <c r="I109" i="4"/>
  <c r="J109" i="4" s="1"/>
  <c r="K109" i="4" s="1"/>
  <c r="I110" i="4"/>
  <c r="J110" i="4" s="1"/>
  <c r="K110" i="4" s="1"/>
  <c r="I111" i="4"/>
  <c r="J111" i="4" s="1"/>
  <c r="K111" i="4" s="1"/>
  <c r="I112" i="4"/>
  <c r="J112" i="4" s="1"/>
  <c r="K112" i="4" s="1"/>
  <c r="I113" i="4"/>
  <c r="J113" i="4" s="1"/>
  <c r="K113" i="4" s="1"/>
  <c r="I114" i="4"/>
  <c r="J114" i="4" s="1"/>
  <c r="K114" i="4" s="1"/>
  <c r="I115" i="4"/>
  <c r="J115" i="4" s="1"/>
  <c r="K115" i="4" s="1"/>
  <c r="I116" i="4"/>
  <c r="J116" i="4" s="1"/>
  <c r="K116" i="4" s="1"/>
  <c r="I117" i="4"/>
  <c r="J117" i="4" s="1"/>
  <c r="K117" i="4" s="1"/>
  <c r="I118" i="4"/>
  <c r="J118" i="4" s="1"/>
  <c r="K118" i="4" s="1"/>
  <c r="I119" i="4"/>
  <c r="J119" i="4" s="1"/>
  <c r="K119" i="4" s="1"/>
  <c r="I120" i="4"/>
  <c r="J120" i="4" s="1"/>
  <c r="K120" i="4" s="1"/>
  <c r="I121" i="4"/>
  <c r="J121" i="4" s="1"/>
  <c r="K121" i="4" s="1"/>
  <c r="I122" i="4"/>
  <c r="J122" i="4" s="1"/>
  <c r="K122" i="4" s="1"/>
  <c r="I123" i="4"/>
  <c r="J123" i="4" s="1"/>
  <c r="K123" i="4" s="1"/>
  <c r="I124" i="4"/>
  <c r="J124" i="4" s="1"/>
  <c r="K124" i="4" s="1"/>
  <c r="I125" i="4"/>
  <c r="J125" i="4" s="1"/>
  <c r="K125" i="4" s="1"/>
  <c r="I126" i="4"/>
  <c r="J126" i="4" s="1"/>
  <c r="K126" i="4" s="1"/>
  <c r="I127" i="4"/>
  <c r="J127" i="4" s="1"/>
  <c r="K127" i="4" s="1"/>
  <c r="I128" i="4"/>
  <c r="J128" i="4" s="1"/>
  <c r="K128" i="4" s="1"/>
  <c r="I129" i="4"/>
  <c r="J129" i="4" s="1"/>
  <c r="K129" i="4" s="1"/>
  <c r="I130" i="4"/>
  <c r="J130" i="4" s="1"/>
  <c r="K130" i="4" s="1"/>
  <c r="I131" i="4"/>
  <c r="J131" i="4" s="1"/>
  <c r="K131" i="4" s="1"/>
  <c r="I132" i="4"/>
  <c r="J132" i="4" s="1"/>
  <c r="K132" i="4" s="1"/>
  <c r="I133" i="4"/>
  <c r="J133" i="4" s="1"/>
  <c r="K133" i="4" s="1"/>
  <c r="I134" i="4"/>
  <c r="J134" i="4" s="1"/>
  <c r="K134" i="4" s="1"/>
  <c r="I135" i="4"/>
  <c r="J135" i="4" s="1"/>
  <c r="K135" i="4" s="1"/>
  <c r="I136" i="4"/>
  <c r="J136" i="4" s="1"/>
  <c r="K136" i="4" s="1"/>
  <c r="I137" i="4"/>
  <c r="J137" i="4" s="1"/>
  <c r="K137" i="4" s="1"/>
  <c r="I138" i="4"/>
  <c r="J138" i="4" s="1"/>
  <c r="K138" i="4" s="1"/>
  <c r="I139" i="4"/>
  <c r="J139" i="4" s="1"/>
  <c r="K139" i="4" s="1"/>
  <c r="I140" i="4"/>
  <c r="J140" i="4" s="1"/>
  <c r="K140" i="4" s="1"/>
  <c r="I141" i="4"/>
  <c r="J141" i="4" s="1"/>
  <c r="K141" i="4" s="1"/>
  <c r="I142" i="4"/>
  <c r="J142" i="4" s="1"/>
  <c r="K142" i="4" s="1"/>
  <c r="I143" i="4"/>
  <c r="J143" i="4" s="1"/>
  <c r="K143" i="4" s="1"/>
  <c r="I144" i="4"/>
  <c r="J144" i="4" s="1"/>
  <c r="K144" i="4" s="1"/>
  <c r="I145" i="4"/>
  <c r="J145" i="4" s="1"/>
  <c r="K145" i="4" s="1"/>
  <c r="I146" i="4"/>
  <c r="J146" i="4" s="1"/>
  <c r="K146" i="4" s="1"/>
  <c r="I147" i="4"/>
  <c r="J147" i="4" s="1"/>
  <c r="K147" i="4" s="1"/>
  <c r="I148" i="4"/>
  <c r="J148" i="4" s="1"/>
  <c r="K148" i="4" s="1"/>
  <c r="I149" i="4"/>
  <c r="J149" i="4" s="1"/>
  <c r="K149" i="4" s="1"/>
  <c r="I150" i="4"/>
  <c r="J150" i="4" s="1"/>
  <c r="K150" i="4" s="1"/>
  <c r="I151" i="4"/>
  <c r="J151" i="4" s="1"/>
  <c r="K151" i="4" s="1"/>
  <c r="I152" i="4"/>
  <c r="J152" i="4" s="1"/>
  <c r="K152" i="4" s="1"/>
  <c r="I153" i="4"/>
  <c r="J153" i="4" s="1"/>
  <c r="K153" i="4" s="1"/>
  <c r="I154" i="4"/>
  <c r="J154" i="4" s="1"/>
  <c r="K154" i="4" s="1"/>
  <c r="I155" i="4"/>
  <c r="J155" i="4" s="1"/>
  <c r="K155" i="4" s="1"/>
  <c r="I156" i="4"/>
  <c r="J156" i="4" s="1"/>
  <c r="K156" i="4" s="1"/>
  <c r="I157" i="4"/>
  <c r="J157" i="4" s="1"/>
  <c r="K157" i="4" s="1"/>
  <c r="I158" i="4"/>
  <c r="J158" i="4" s="1"/>
  <c r="K158" i="4" s="1"/>
  <c r="I159" i="4"/>
  <c r="J159" i="4" s="1"/>
  <c r="K159" i="4" s="1"/>
  <c r="I160" i="4"/>
  <c r="J160" i="4" s="1"/>
  <c r="K160" i="4" s="1"/>
  <c r="H160" i="4"/>
  <c r="I57" i="6"/>
  <c r="J57" i="6" s="1"/>
  <c r="K57" i="6" s="1"/>
  <c r="I62" i="6"/>
  <c r="J62" i="6" s="1"/>
  <c r="K62" i="6" s="1"/>
  <c r="I10" i="5"/>
  <c r="J10" i="5" s="1"/>
  <c r="K10" i="5" s="1"/>
  <c r="K14" i="8"/>
  <c r="K15" i="8"/>
  <c r="K16" i="8"/>
  <c r="K17" i="8"/>
  <c r="K34" i="8"/>
  <c r="K35" i="8"/>
  <c r="K36" i="8"/>
  <c r="K37" i="8"/>
  <c r="K38" i="8"/>
  <c r="K39" i="8"/>
  <c r="I7" i="7"/>
  <c r="J7" i="7" s="1"/>
  <c r="K7" i="7" s="1"/>
  <c r="I8" i="7"/>
  <c r="J8" i="7" s="1"/>
  <c r="K8" i="7" s="1"/>
  <c r="I9" i="7"/>
  <c r="J9" i="7" s="1"/>
  <c r="K9" i="7" s="1"/>
  <c r="I10" i="7"/>
  <c r="J10" i="7" s="1"/>
  <c r="K10" i="7" s="1"/>
  <c r="I11" i="7"/>
  <c r="J11" i="7" s="1"/>
  <c r="K11" i="7" s="1"/>
  <c r="I12" i="7"/>
  <c r="J12" i="7" s="1"/>
  <c r="K12" i="7" s="1"/>
  <c r="I13" i="7"/>
  <c r="J13" i="7" s="1"/>
  <c r="K13" i="7" s="1"/>
  <c r="I14" i="7"/>
  <c r="J14" i="7" s="1"/>
  <c r="K14" i="7" s="1"/>
  <c r="I15" i="7"/>
  <c r="J15" i="7" s="1"/>
  <c r="K15" i="7" s="1"/>
  <c r="I16" i="7"/>
  <c r="J16" i="7" s="1"/>
  <c r="K16" i="7" s="1"/>
  <c r="I17" i="7"/>
  <c r="J17" i="7" s="1"/>
  <c r="K17" i="7" s="1"/>
  <c r="I18" i="7"/>
  <c r="J18" i="7" s="1"/>
  <c r="K18" i="7" s="1"/>
  <c r="I19" i="7"/>
  <c r="J19" i="7" s="1"/>
  <c r="K19" i="7" s="1"/>
  <c r="I20" i="7"/>
  <c r="J20" i="7" s="1"/>
  <c r="K20" i="7" s="1"/>
  <c r="I21" i="7"/>
  <c r="J21" i="7" s="1"/>
  <c r="K21" i="7" s="1"/>
  <c r="I22" i="7"/>
  <c r="J22" i="7" s="1"/>
  <c r="K22" i="7" s="1"/>
  <c r="I23" i="7"/>
  <c r="J23" i="7" s="1"/>
  <c r="K23" i="7" s="1"/>
  <c r="I24" i="7"/>
  <c r="J24" i="7" s="1"/>
  <c r="K24" i="7" s="1"/>
  <c r="I25" i="7"/>
  <c r="J25" i="7" s="1"/>
  <c r="K25" i="7" s="1"/>
  <c r="I7" i="6"/>
  <c r="J7" i="6" s="1"/>
  <c r="K7" i="6" s="1"/>
  <c r="I8" i="6"/>
  <c r="J8" i="6" s="1"/>
  <c r="K8" i="6" s="1"/>
  <c r="I9" i="6"/>
  <c r="J9" i="6" s="1"/>
  <c r="K9" i="6" s="1"/>
  <c r="I10" i="6"/>
  <c r="J10" i="6" s="1"/>
  <c r="K10" i="6" s="1"/>
  <c r="I11" i="6"/>
  <c r="J11" i="6" s="1"/>
  <c r="K11" i="6" s="1"/>
  <c r="I12" i="6"/>
  <c r="J12" i="6" s="1"/>
  <c r="K12" i="6" s="1"/>
  <c r="I13" i="6"/>
  <c r="J13" i="6" s="1"/>
  <c r="K13" i="6" s="1"/>
  <c r="I14" i="6"/>
  <c r="J14" i="6" s="1"/>
  <c r="K14" i="6" s="1"/>
  <c r="I15" i="6"/>
  <c r="J15" i="6" s="1"/>
  <c r="K15" i="6" s="1"/>
  <c r="I16" i="6"/>
  <c r="J16" i="6" s="1"/>
  <c r="K16" i="6" s="1"/>
  <c r="I17" i="6"/>
  <c r="J17" i="6" s="1"/>
  <c r="K17" i="6" s="1"/>
  <c r="I18" i="6"/>
  <c r="J18" i="6" s="1"/>
  <c r="K18" i="6" s="1"/>
  <c r="I19" i="6"/>
  <c r="J19" i="6" s="1"/>
  <c r="K19" i="6" s="1"/>
  <c r="I20" i="6"/>
  <c r="J20" i="6" s="1"/>
  <c r="K20" i="6" s="1"/>
  <c r="I21" i="6"/>
  <c r="J21" i="6" s="1"/>
  <c r="K21" i="6" s="1"/>
  <c r="I22" i="6"/>
  <c r="J22" i="6" s="1"/>
  <c r="K22" i="6" s="1"/>
  <c r="I23" i="6"/>
  <c r="J23" i="6" s="1"/>
  <c r="K23" i="6" s="1"/>
  <c r="I24" i="6"/>
  <c r="J24" i="6" s="1"/>
  <c r="K24" i="6" s="1"/>
  <c r="I25" i="6"/>
  <c r="J25" i="6" s="1"/>
  <c r="K25" i="6" s="1"/>
  <c r="I26" i="6"/>
  <c r="J26" i="6" s="1"/>
  <c r="K26" i="6" s="1"/>
  <c r="I27" i="6"/>
  <c r="J27" i="6" s="1"/>
  <c r="K27" i="6" s="1"/>
  <c r="I28" i="6"/>
  <c r="J28" i="6" s="1"/>
  <c r="K28" i="6" s="1"/>
  <c r="I29" i="6"/>
  <c r="J29" i="6" s="1"/>
  <c r="K29" i="6" s="1"/>
  <c r="I30" i="6"/>
  <c r="J30" i="6" s="1"/>
  <c r="K30" i="6" s="1"/>
  <c r="I31" i="6"/>
  <c r="J31" i="6" s="1"/>
  <c r="K31" i="6" s="1"/>
  <c r="I32" i="6"/>
  <c r="J32" i="6" s="1"/>
  <c r="K32" i="6" s="1"/>
  <c r="I33" i="6"/>
  <c r="J33" i="6" s="1"/>
  <c r="K33" i="6" s="1"/>
  <c r="I34" i="6"/>
  <c r="J34" i="6" s="1"/>
  <c r="K34" i="6" s="1"/>
  <c r="I35" i="6"/>
  <c r="J35" i="6" s="1"/>
  <c r="K35" i="6" s="1"/>
  <c r="I36" i="6"/>
  <c r="J36" i="6" s="1"/>
  <c r="K36" i="6" s="1"/>
  <c r="I37" i="6"/>
  <c r="J37" i="6" s="1"/>
  <c r="K37" i="6" s="1"/>
  <c r="I38" i="6"/>
  <c r="J38" i="6" s="1"/>
  <c r="K38" i="6" s="1"/>
  <c r="I39" i="6"/>
  <c r="J39" i="6" s="1"/>
  <c r="K39" i="6" s="1"/>
  <c r="I40" i="6"/>
  <c r="J40" i="6" s="1"/>
  <c r="K40" i="6" s="1"/>
  <c r="I41" i="6"/>
  <c r="J41" i="6" s="1"/>
  <c r="K41" i="6" s="1"/>
  <c r="I42" i="6"/>
  <c r="J42" i="6" s="1"/>
  <c r="K42" i="6" s="1"/>
  <c r="I43" i="6"/>
  <c r="J43" i="6" s="1"/>
  <c r="K43" i="6" s="1"/>
  <c r="I44" i="6"/>
  <c r="J44" i="6" s="1"/>
  <c r="K44" i="6" s="1"/>
  <c r="I45" i="6"/>
  <c r="J45" i="6" s="1"/>
  <c r="K45" i="6" s="1"/>
  <c r="I46" i="6"/>
  <c r="J46" i="6" s="1"/>
  <c r="K46" i="6" s="1"/>
  <c r="I47" i="6"/>
  <c r="J47" i="6" s="1"/>
  <c r="K47" i="6" s="1"/>
  <c r="I48" i="6"/>
  <c r="J48" i="6" s="1"/>
  <c r="K48" i="6" s="1"/>
  <c r="I49" i="6"/>
  <c r="J49" i="6" s="1"/>
  <c r="K49" i="6" s="1"/>
  <c r="I50" i="6"/>
  <c r="J50" i="6" s="1"/>
  <c r="K50" i="6" s="1"/>
  <c r="I51" i="6"/>
  <c r="J51" i="6" s="1"/>
  <c r="K51" i="6" s="1"/>
  <c r="I52" i="6"/>
  <c r="J52" i="6" s="1"/>
  <c r="K52" i="6" s="1"/>
  <c r="I53" i="6"/>
  <c r="J53" i="6" s="1"/>
  <c r="K53" i="6" s="1"/>
  <c r="I54" i="6"/>
  <c r="J54" i="6" s="1"/>
  <c r="K54" i="6" s="1"/>
  <c r="I55" i="6"/>
  <c r="J55" i="6" s="1"/>
  <c r="K55" i="6" s="1"/>
  <c r="I56" i="6"/>
  <c r="J56" i="6" s="1"/>
  <c r="K56" i="6" s="1"/>
  <c r="I58" i="6"/>
  <c r="J58" i="6" s="1"/>
  <c r="K58" i="6" s="1"/>
  <c r="I59" i="6"/>
  <c r="J59" i="6" s="1"/>
  <c r="K59" i="6" s="1"/>
  <c r="I60" i="6"/>
  <c r="J60" i="6" s="1"/>
  <c r="K60" i="6" s="1"/>
  <c r="I61" i="6"/>
  <c r="J61" i="6" s="1"/>
  <c r="K61" i="6" s="1"/>
  <c r="I7" i="5"/>
  <c r="J7" i="5" s="1"/>
  <c r="K7" i="5" s="1"/>
  <c r="I8" i="5"/>
  <c r="J8" i="5" s="1"/>
  <c r="K8" i="5" s="1"/>
  <c r="I9" i="5"/>
  <c r="J9" i="5" s="1"/>
  <c r="K9" i="5" s="1"/>
  <c r="I11" i="5"/>
  <c r="J11" i="5" s="1"/>
  <c r="K11" i="5" s="1"/>
  <c r="I12" i="5"/>
  <c r="J12" i="5" s="1"/>
  <c r="K12" i="5" s="1"/>
  <c r="I13" i="5"/>
  <c r="J13" i="5" s="1"/>
  <c r="K13" i="5" s="1"/>
  <c r="I14" i="5"/>
  <c r="J14" i="5" s="1"/>
  <c r="K14" i="5" s="1"/>
  <c r="I15" i="5"/>
  <c r="J15" i="5" s="1"/>
  <c r="K15" i="5" s="1"/>
  <c r="I16" i="5"/>
  <c r="J16" i="5" s="1"/>
  <c r="K16" i="5" s="1"/>
  <c r="I17" i="5"/>
  <c r="J17" i="5" s="1"/>
  <c r="K17" i="5" s="1"/>
  <c r="I18" i="5"/>
  <c r="J18" i="5" s="1"/>
  <c r="K18" i="5" s="1"/>
  <c r="I19" i="5"/>
  <c r="J19" i="5" s="1"/>
  <c r="K19" i="5" s="1"/>
  <c r="I20" i="5"/>
  <c r="J20" i="5" s="1"/>
  <c r="K20" i="5" s="1"/>
  <c r="I21" i="5"/>
  <c r="J21" i="5" s="1"/>
  <c r="K21" i="5" s="1"/>
  <c r="I22" i="5"/>
  <c r="J22" i="5" s="1"/>
  <c r="K22" i="5" s="1"/>
  <c r="I23" i="5"/>
  <c r="J23" i="5" s="1"/>
  <c r="K23" i="5" s="1"/>
  <c r="I24" i="5"/>
  <c r="J24" i="5" s="1"/>
  <c r="K24" i="5" s="1"/>
  <c r="I25" i="5"/>
  <c r="J25" i="5" s="1"/>
  <c r="K25" i="5" s="1"/>
  <c r="I26" i="5"/>
  <c r="J26" i="5" s="1"/>
  <c r="K26" i="5" s="1"/>
  <c r="I27" i="5"/>
  <c r="J27" i="5" s="1"/>
  <c r="K27" i="5" s="1"/>
  <c r="I28" i="5"/>
  <c r="J28" i="5" s="1"/>
  <c r="K28" i="5" s="1"/>
  <c r="I29" i="5"/>
  <c r="J29" i="5" s="1"/>
  <c r="K29" i="5" s="1"/>
  <c r="I30" i="5"/>
  <c r="J30" i="5" s="1"/>
  <c r="K30" i="5" s="1"/>
  <c r="I31" i="5"/>
  <c r="J31" i="5" s="1"/>
  <c r="K31" i="5" s="1"/>
  <c r="I32" i="5"/>
  <c r="J32" i="5" s="1"/>
  <c r="K32" i="5" s="1"/>
  <c r="I33" i="5"/>
  <c r="J33" i="5" s="1"/>
  <c r="K33" i="5" s="1"/>
  <c r="I34" i="5"/>
  <c r="J34" i="5" s="1"/>
  <c r="K34" i="5" s="1"/>
  <c r="I35" i="5"/>
  <c r="J35" i="5" s="1"/>
  <c r="K35" i="5" s="1"/>
  <c r="I36" i="5"/>
  <c r="J36" i="5" s="1"/>
  <c r="K36" i="5" s="1"/>
  <c r="I37" i="5"/>
  <c r="J37" i="5" s="1"/>
  <c r="K37" i="5" s="1"/>
  <c r="I38" i="5"/>
  <c r="J38" i="5" s="1"/>
  <c r="K38" i="5" s="1"/>
  <c r="I39" i="5"/>
  <c r="J39" i="5" s="1"/>
  <c r="K39" i="5" s="1"/>
  <c r="I40" i="5"/>
  <c r="J40" i="5" s="1"/>
  <c r="K40" i="5" s="1"/>
  <c r="I41" i="5"/>
  <c r="J41" i="5" s="1"/>
  <c r="K41" i="5" s="1"/>
  <c r="I42" i="5"/>
  <c r="J42" i="5" s="1"/>
  <c r="K42" i="5" s="1"/>
  <c r="I43" i="5"/>
  <c r="J43" i="5" s="1"/>
  <c r="K43" i="5" s="1"/>
  <c r="I44" i="5"/>
  <c r="J44" i="5" s="1"/>
  <c r="K44" i="5" s="1"/>
  <c r="I45" i="5"/>
  <c r="J45" i="5" s="1"/>
  <c r="K45" i="5" s="1"/>
  <c r="I46" i="5"/>
  <c r="J46" i="5" s="1"/>
  <c r="K46" i="5" s="1"/>
  <c r="I47" i="5"/>
  <c r="J47" i="5" s="1"/>
  <c r="K47" i="5" s="1"/>
  <c r="I48" i="5"/>
  <c r="J48" i="5" s="1"/>
  <c r="K48" i="5" s="1"/>
  <c r="I49" i="5"/>
  <c r="J49" i="5" s="1"/>
  <c r="K49" i="5" s="1"/>
  <c r="I50" i="5"/>
  <c r="J50" i="5" s="1"/>
  <c r="K50" i="5" s="1"/>
  <c r="I51" i="5"/>
  <c r="J51" i="5" s="1"/>
  <c r="K51" i="5" s="1"/>
  <c r="I52" i="5"/>
  <c r="J52" i="5" s="1"/>
  <c r="K52" i="5" s="1"/>
  <c r="I53" i="5"/>
  <c r="J53" i="5" s="1"/>
  <c r="K53" i="5" s="1"/>
  <c r="I54" i="5"/>
  <c r="J54" i="5" s="1"/>
  <c r="K54" i="5" s="1"/>
  <c r="I55" i="5"/>
  <c r="J55" i="5" s="1"/>
  <c r="K55" i="5" s="1"/>
  <c r="I56" i="5"/>
  <c r="J56" i="5" s="1"/>
  <c r="K56" i="5" s="1"/>
  <c r="I57" i="5"/>
  <c r="J57" i="5" s="1"/>
  <c r="K57" i="5" s="1"/>
  <c r="I58" i="5"/>
  <c r="J58" i="5" s="1"/>
  <c r="K58" i="5" s="1"/>
  <c r="I59" i="5"/>
  <c r="J59" i="5" s="1"/>
  <c r="K59" i="5" s="1"/>
  <c r="I60" i="5"/>
  <c r="J60" i="5" s="1"/>
  <c r="K60" i="5" s="1"/>
  <c r="I61" i="5"/>
  <c r="J61" i="5" s="1"/>
  <c r="K61" i="5" s="1"/>
  <c r="I62" i="5"/>
  <c r="J62" i="5" s="1"/>
  <c r="K62" i="5" s="1"/>
  <c r="I63" i="5"/>
  <c r="J63" i="5" s="1"/>
  <c r="K63" i="5" s="1"/>
  <c r="I64" i="5"/>
  <c r="J64" i="5" s="1"/>
  <c r="K64" i="5" s="1"/>
  <c r="I65" i="5"/>
  <c r="J65" i="5" s="1"/>
  <c r="K65" i="5" s="1"/>
  <c r="I66" i="5"/>
  <c r="J66" i="5" s="1"/>
  <c r="K66" i="5" s="1"/>
  <c r="I67" i="5"/>
  <c r="J67" i="5" s="1"/>
  <c r="K67" i="5" s="1"/>
  <c r="I68" i="5"/>
  <c r="J68" i="5" s="1"/>
  <c r="K68" i="5" s="1"/>
  <c r="I69" i="5"/>
  <c r="J69" i="5" s="1"/>
  <c r="K69" i="5" s="1"/>
  <c r="I70" i="5"/>
  <c r="J70" i="5" s="1"/>
  <c r="K70" i="5" s="1"/>
  <c r="I71" i="5"/>
  <c r="J71" i="5" s="1"/>
  <c r="K71" i="5" s="1"/>
  <c r="I72" i="5"/>
  <c r="J72" i="5" s="1"/>
  <c r="K72" i="5" s="1"/>
  <c r="I73" i="5"/>
  <c r="J73" i="5" s="1"/>
  <c r="K73" i="5" s="1"/>
  <c r="I74" i="5"/>
  <c r="J74" i="5" s="1"/>
  <c r="K74" i="5" s="1"/>
  <c r="I75" i="5"/>
  <c r="J75" i="5" s="1"/>
  <c r="K75" i="5" s="1"/>
  <c r="I76" i="5"/>
  <c r="J76" i="5" s="1"/>
  <c r="K76" i="5" s="1"/>
  <c r="I77" i="5"/>
  <c r="J77" i="5" s="1"/>
  <c r="K77" i="5" s="1"/>
  <c r="I78" i="5"/>
  <c r="J78" i="5" s="1"/>
  <c r="K78" i="5" s="1"/>
  <c r="I79" i="5"/>
  <c r="J79" i="5" s="1"/>
  <c r="K79" i="5" s="1"/>
  <c r="I80" i="5"/>
  <c r="J80" i="5" s="1"/>
  <c r="K80" i="5" s="1"/>
  <c r="I81" i="5"/>
  <c r="J81" i="5" s="1"/>
  <c r="K81" i="5" s="1"/>
  <c r="I21" i="3"/>
  <c r="J21" i="3" s="1"/>
  <c r="K21" i="3" s="1"/>
  <c r="I7" i="3"/>
  <c r="J7" i="3" s="1"/>
  <c r="K7" i="3" s="1"/>
  <c r="I8" i="3"/>
  <c r="J8" i="3" s="1"/>
  <c r="K8" i="3" s="1"/>
  <c r="I9" i="3"/>
  <c r="J9" i="3" s="1"/>
  <c r="K9" i="3" s="1"/>
  <c r="I10" i="3"/>
  <c r="J10" i="3" s="1"/>
  <c r="K10" i="3" s="1"/>
  <c r="I11" i="3"/>
  <c r="J11" i="3" s="1"/>
  <c r="K11" i="3" s="1"/>
  <c r="I12" i="3"/>
  <c r="J12" i="3" s="1"/>
  <c r="K12" i="3" s="1"/>
  <c r="I13" i="3"/>
  <c r="J13" i="3" s="1"/>
  <c r="K13" i="3" s="1"/>
  <c r="I14" i="3"/>
  <c r="J14" i="3" s="1"/>
  <c r="K14" i="3" s="1"/>
  <c r="I15" i="3"/>
  <c r="J15" i="3" s="1"/>
  <c r="K15" i="3" s="1"/>
  <c r="I16" i="3"/>
  <c r="J16" i="3" s="1"/>
  <c r="K16" i="3" s="1"/>
  <c r="I17" i="3"/>
  <c r="J17" i="3" s="1"/>
  <c r="K17" i="3" s="1"/>
  <c r="I18" i="3"/>
  <c r="J18" i="3" s="1"/>
  <c r="K18" i="3" s="1"/>
  <c r="I19" i="3"/>
  <c r="J19" i="3" s="1"/>
  <c r="K19" i="3" s="1"/>
  <c r="I20" i="3"/>
  <c r="J20" i="3" s="1"/>
  <c r="K20" i="3" s="1"/>
  <c r="I22" i="3"/>
  <c r="J22" i="3" s="1"/>
  <c r="K22" i="3" s="1"/>
  <c r="I23" i="3"/>
  <c r="J23" i="3" s="1"/>
  <c r="K23" i="3" s="1"/>
  <c r="I24" i="3"/>
  <c r="J24" i="3" s="1"/>
  <c r="K24" i="3" s="1"/>
  <c r="I25" i="3"/>
  <c r="J25" i="3" s="1"/>
  <c r="K25" i="3" s="1"/>
  <c r="I26" i="3"/>
  <c r="J26" i="3" s="1"/>
  <c r="K26" i="3" s="1"/>
  <c r="I27" i="3"/>
  <c r="J27" i="3" s="1"/>
  <c r="K27" i="3" s="1"/>
  <c r="J95" i="2"/>
  <c r="K95" i="2" s="1"/>
  <c r="J96" i="2"/>
  <c r="K96" i="2" s="1"/>
  <c r="J97" i="2"/>
  <c r="K97" i="2" s="1"/>
  <c r="J98" i="2"/>
  <c r="K98" i="2" s="1"/>
  <c r="K99" i="2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I7" i="1"/>
  <c r="J7" i="1" s="1"/>
  <c r="K7" i="1" s="1"/>
  <c r="I8" i="1"/>
  <c r="J8" i="1" s="1"/>
  <c r="K8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  <c r="I14" i="1"/>
  <c r="J14" i="1" s="1"/>
  <c r="K14" i="1" s="1"/>
  <c r="I15" i="1"/>
  <c r="J15" i="1" s="1"/>
  <c r="K15" i="1" s="1"/>
  <c r="I16" i="1"/>
  <c r="J16" i="1" s="1"/>
  <c r="K16" i="1" s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1" i="1"/>
  <c r="J21" i="1" s="1"/>
  <c r="K21" i="1" s="1"/>
  <c r="I22" i="1"/>
  <c r="J22" i="1" s="1"/>
  <c r="K22" i="1" s="1"/>
  <c r="I23" i="1"/>
  <c r="J23" i="1" s="1"/>
  <c r="K23" i="1" s="1"/>
  <c r="I24" i="1"/>
  <c r="J24" i="1" s="1"/>
  <c r="K24" i="1" s="1"/>
  <c r="I25" i="1"/>
  <c r="J25" i="1" s="1"/>
  <c r="K25" i="1" s="1"/>
  <c r="I26" i="1"/>
  <c r="J26" i="1" s="1"/>
  <c r="K26" i="1" s="1"/>
  <c r="I27" i="1"/>
  <c r="J27" i="1" s="1"/>
  <c r="K27" i="1" s="1"/>
  <c r="I28" i="1"/>
  <c r="J28" i="1" s="1"/>
  <c r="K28" i="1" s="1"/>
  <c r="I29" i="1"/>
  <c r="J29" i="1" s="1"/>
  <c r="K29" i="1" s="1"/>
  <c r="I30" i="1"/>
  <c r="J30" i="1" s="1"/>
  <c r="K30" i="1" s="1"/>
  <c r="I31" i="1"/>
  <c r="J31" i="1" s="1"/>
  <c r="K31" i="1" s="1"/>
  <c r="I32" i="1"/>
  <c r="J32" i="1" s="1"/>
  <c r="K32" i="1" s="1"/>
  <c r="I33" i="1"/>
  <c r="J33" i="1" s="1"/>
  <c r="K33" i="1" s="1"/>
  <c r="I34" i="1"/>
  <c r="J34" i="1" s="1"/>
  <c r="K34" i="1" s="1"/>
  <c r="I35" i="1"/>
  <c r="J35" i="1" s="1"/>
  <c r="K35" i="1" s="1"/>
  <c r="I36" i="1"/>
  <c r="J36" i="1" s="1"/>
  <c r="K36" i="1" s="1"/>
  <c r="I37" i="1"/>
  <c r="J37" i="1" s="1"/>
  <c r="K37" i="1" s="1"/>
  <c r="I38" i="1"/>
  <c r="J38" i="1" s="1"/>
  <c r="K38" i="1" s="1"/>
  <c r="I39" i="1"/>
  <c r="J39" i="1" s="1"/>
  <c r="K39" i="1" s="1"/>
  <c r="I40" i="1"/>
  <c r="J40" i="1" s="1"/>
  <c r="K40" i="1" s="1"/>
  <c r="I41" i="1"/>
  <c r="J41" i="1" s="1"/>
  <c r="K41" i="1" s="1"/>
  <c r="I42" i="1"/>
  <c r="J42" i="1" s="1"/>
  <c r="K42" i="1" s="1"/>
  <c r="I43" i="1"/>
  <c r="J43" i="1" s="1"/>
  <c r="K43" i="1" s="1"/>
  <c r="I44" i="1"/>
  <c r="J44" i="1" s="1"/>
  <c r="K44" i="1" s="1"/>
  <c r="I45" i="1"/>
  <c r="J45" i="1" s="1"/>
  <c r="K45" i="1" s="1"/>
  <c r="I46" i="1"/>
  <c r="J46" i="1" s="1"/>
  <c r="K46" i="1" s="1"/>
  <c r="I47" i="1"/>
  <c r="J47" i="1" s="1"/>
  <c r="K47" i="1" s="1"/>
  <c r="I48" i="1"/>
  <c r="J48" i="1" s="1"/>
  <c r="K48" i="1" s="1"/>
  <c r="I49" i="1"/>
  <c r="J49" i="1" s="1"/>
  <c r="K49" i="1" s="1"/>
  <c r="I50" i="1"/>
  <c r="J50" i="1" s="1"/>
  <c r="K50" i="1" s="1"/>
  <c r="I51" i="1"/>
  <c r="J51" i="1" s="1"/>
  <c r="K51" i="1" s="1"/>
  <c r="I52" i="1"/>
  <c r="J52" i="1" s="1"/>
  <c r="K52" i="1" s="1"/>
  <c r="I53" i="1"/>
  <c r="J53" i="1" s="1"/>
  <c r="K53" i="1" s="1"/>
  <c r="I54" i="1"/>
  <c r="J54" i="1" s="1"/>
  <c r="K54" i="1" s="1"/>
  <c r="I55" i="1"/>
  <c r="J55" i="1" s="1"/>
  <c r="K55" i="1" s="1"/>
  <c r="I56" i="1"/>
  <c r="J56" i="1" s="1"/>
  <c r="K56" i="1" s="1"/>
  <c r="I57" i="1"/>
  <c r="J57" i="1" s="1"/>
  <c r="K57" i="1" s="1"/>
  <c r="I58" i="1"/>
  <c r="J58" i="1" s="1"/>
  <c r="K58" i="1" s="1"/>
  <c r="I59" i="1"/>
  <c r="J59" i="1" s="1"/>
  <c r="K59" i="1" s="1"/>
  <c r="I60" i="1"/>
  <c r="J60" i="1" s="1"/>
  <c r="K60" i="1" s="1"/>
  <c r="I61" i="1"/>
  <c r="J61" i="1" s="1"/>
  <c r="K61" i="1" s="1"/>
  <c r="I62" i="1"/>
  <c r="J62" i="1" s="1"/>
  <c r="K62" i="1" s="1"/>
  <c r="I63" i="1"/>
  <c r="J63" i="1" s="1"/>
  <c r="K63" i="1" s="1"/>
  <c r="I64" i="1"/>
  <c r="J64" i="1" s="1"/>
  <c r="K64" i="1" s="1"/>
  <c r="I65" i="1"/>
  <c r="J65" i="1" s="1"/>
  <c r="K65" i="1" s="1"/>
  <c r="I66" i="1"/>
  <c r="J66" i="1" s="1"/>
  <c r="K66" i="1" s="1"/>
  <c r="I67" i="1"/>
  <c r="J67" i="1" s="1"/>
  <c r="K67" i="1" s="1"/>
  <c r="I68" i="1"/>
  <c r="J68" i="1" s="1"/>
  <c r="K68" i="1" s="1"/>
  <c r="I69" i="1"/>
  <c r="J69" i="1" s="1"/>
  <c r="K69" i="1" s="1"/>
  <c r="I70" i="1"/>
  <c r="J70" i="1" s="1"/>
  <c r="K70" i="1" s="1"/>
  <c r="I71" i="1"/>
  <c r="J71" i="1" s="1"/>
  <c r="K71" i="1" s="1"/>
  <c r="I72" i="1"/>
  <c r="J72" i="1" s="1"/>
  <c r="K72" i="1" s="1"/>
  <c r="I73" i="1"/>
  <c r="J73" i="1" s="1"/>
  <c r="K73" i="1" s="1"/>
  <c r="I74" i="1"/>
  <c r="J74" i="1" s="1"/>
  <c r="K74" i="1" s="1"/>
  <c r="I75" i="1"/>
  <c r="J75" i="1" s="1"/>
  <c r="K75" i="1" s="1"/>
  <c r="I76" i="1"/>
  <c r="J76" i="1" s="1"/>
  <c r="K76" i="1" s="1"/>
  <c r="I77" i="1"/>
  <c r="J77" i="1" s="1"/>
  <c r="K77" i="1" s="1"/>
  <c r="I78" i="1"/>
  <c r="J78" i="1" s="1"/>
  <c r="K78" i="1" s="1"/>
  <c r="I79" i="1"/>
  <c r="J79" i="1" s="1"/>
  <c r="K79" i="1" s="1"/>
  <c r="I80" i="1"/>
  <c r="J80" i="1" s="1"/>
  <c r="K80" i="1" s="1"/>
  <c r="I81" i="1"/>
  <c r="J81" i="1" s="1"/>
  <c r="K81" i="1" s="1"/>
  <c r="I82" i="1"/>
  <c r="J82" i="1" s="1"/>
  <c r="K82" i="1" s="1"/>
  <c r="I83" i="1"/>
  <c r="J83" i="1" s="1"/>
  <c r="K83" i="1" s="1"/>
  <c r="I84" i="1"/>
  <c r="J84" i="1" s="1"/>
  <c r="K84" i="1" s="1"/>
  <c r="I85" i="1"/>
  <c r="J85" i="1" s="1"/>
  <c r="K85" i="1" s="1"/>
  <c r="I86" i="1"/>
  <c r="J86" i="1" s="1"/>
  <c r="K86" i="1" s="1"/>
  <c r="I87" i="1"/>
  <c r="J87" i="1" s="1"/>
  <c r="K87" i="1" s="1"/>
  <c r="I88" i="1"/>
  <c r="J88" i="1" s="1"/>
  <c r="K88" i="1" s="1"/>
  <c r="I89" i="1"/>
  <c r="J89" i="1" s="1"/>
  <c r="K89" i="1" s="1"/>
  <c r="I90" i="1"/>
  <c r="J90" i="1" s="1"/>
  <c r="K90" i="1" s="1"/>
  <c r="I91" i="1"/>
  <c r="J91" i="1" s="1"/>
  <c r="K91" i="1" s="1"/>
  <c r="I92" i="1"/>
  <c r="J92" i="1" s="1"/>
  <c r="K92" i="1" s="1"/>
  <c r="I93" i="1"/>
  <c r="J93" i="1" s="1"/>
  <c r="K93" i="1" s="1"/>
  <c r="I94" i="1"/>
  <c r="J94" i="1" s="1"/>
  <c r="K94" i="1" s="1"/>
  <c r="I95" i="1"/>
  <c r="J95" i="1" s="1"/>
  <c r="K95" i="1" s="1"/>
  <c r="I96" i="1"/>
  <c r="J96" i="1" s="1"/>
  <c r="K96" i="1" s="1"/>
  <c r="I97" i="1"/>
  <c r="J97" i="1" s="1"/>
  <c r="K97" i="1" s="1"/>
  <c r="I98" i="1"/>
  <c r="J98" i="1" s="1"/>
  <c r="K98" i="1" s="1"/>
  <c r="I99" i="1"/>
  <c r="J99" i="1" s="1"/>
  <c r="K99" i="1" s="1"/>
  <c r="I100" i="1"/>
  <c r="J100" i="1" s="1"/>
  <c r="K100" i="1" s="1"/>
  <c r="I101" i="1"/>
  <c r="J101" i="1" s="1"/>
  <c r="K101" i="1" s="1"/>
  <c r="I102" i="1"/>
  <c r="J102" i="1" s="1"/>
  <c r="K102" i="1" s="1"/>
  <c r="I103" i="1"/>
  <c r="J103" i="1" s="1"/>
  <c r="K103" i="1" s="1"/>
  <c r="I104" i="1"/>
  <c r="J104" i="1" s="1"/>
  <c r="K104" i="1" s="1"/>
  <c r="I105" i="1"/>
  <c r="J105" i="1" s="1"/>
  <c r="K105" i="1" s="1"/>
  <c r="I106" i="1"/>
  <c r="J106" i="1" s="1"/>
  <c r="K106" i="1" s="1"/>
  <c r="I107" i="1"/>
  <c r="J107" i="1" s="1"/>
  <c r="K107" i="1" s="1"/>
  <c r="I108" i="1"/>
  <c r="J108" i="1" s="1"/>
  <c r="K108" i="1" s="1"/>
  <c r="I109" i="1"/>
  <c r="J109" i="1" s="1"/>
  <c r="K109" i="1" s="1"/>
  <c r="I110" i="1"/>
  <c r="J110" i="1" s="1"/>
  <c r="K110" i="1" s="1"/>
  <c r="I111" i="1"/>
  <c r="J111" i="1" s="1"/>
  <c r="K111" i="1" s="1"/>
  <c r="I112" i="1"/>
  <c r="J112" i="1" s="1"/>
  <c r="K112" i="1" s="1"/>
  <c r="I113" i="1"/>
  <c r="J113" i="1" s="1"/>
  <c r="K113" i="1" s="1"/>
  <c r="I114" i="1"/>
  <c r="J114" i="1" s="1"/>
  <c r="K114" i="1" s="1"/>
  <c r="I115" i="1"/>
  <c r="J115" i="1" s="1"/>
  <c r="K115" i="1" s="1"/>
  <c r="I116" i="1"/>
  <c r="J116" i="1" s="1"/>
  <c r="K116" i="1" s="1"/>
  <c r="I117" i="1"/>
  <c r="J117" i="1" s="1"/>
  <c r="K117" i="1" s="1"/>
  <c r="I118" i="1"/>
  <c r="J118" i="1" s="1"/>
  <c r="K118" i="1" s="1"/>
  <c r="I119" i="1"/>
  <c r="J119" i="1" s="1"/>
  <c r="K119" i="1" s="1"/>
  <c r="I120" i="1"/>
  <c r="J120" i="1" s="1"/>
  <c r="K120" i="1" s="1"/>
  <c r="I121" i="1"/>
  <c r="J121" i="1" s="1"/>
  <c r="K121" i="1" s="1"/>
  <c r="I122" i="1"/>
  <c r="J122" i="1" s="1"/>
  <c r="K122" i="1" s="1"/>
  <c r="I123" i="1"/>
  <c r="J123" i="1" s="1"/>
  <c r="K123" i="1" s="1"/>
  <c r="I124" i="1"/>
  <c r="J124" i="1" s="1"/>
  <c r="K124" i="1" s="1"/>
  <c r="I125" i="1"/>
  <c r="J125" i="1" s="1"/>
  <c r="K125" i="1" s="1"/>
  <c r="I126" i="1"/>
  <c r="J126" i="1" s="1"/>
  <c r="K126" i="1" s="1"/>
  <c r="I127" i="1"/>
  <c r="J127" i="1" s="1"/>
  <c r="K127" i="1" s="1"/>
  <c r="I128" i="1"/>
  <c r="J128" i="1" s="1"/>
  <c r="K128" i="1" s="1"/>
  <c r="I129" i="1"/>
  <c r="J129" i="1" s="1"/>
  <c r="K129" i="1" s="1"/>
  <c r="I130" i="1"/>
  <c r="J130" i="1" s="1"/>
  <c r="K130" i="1" s="1"/>
  <c r="I131" i="1"/>
  <c r="J131" i="1" s="1"/>
  <c r="K131" i="1" s="1"/>
  <c r="I132" i="1"/>
  <c r="J132" i="1" s="1"/>
  <c r="K132" i="1" s="1"/>
  <c r="I133" i="1"/>
  <c r="J133" i="1" s="1"/>
  <c r="K133" i="1" s="1"/>
  <c r="I134" i="1"/>
  <c r="J134" i="1" s="1"/>
  <c r="K134" i="1" s="1"/>
  <c r="I135" i="1"/>
  <c r="J135" i="1" s="1"/>
  <c r="K135" i="1" s="1"/>
  <c r="I136" i="1"/>
  <c r="J136" i="1" s="1"/>
  <c r="K136" i="1" s="1"/>
  <c r="I137" i="1"/>
  <c r="J137" i="1" s="1"/>
  <c r="K137" i="1" s="1"/>
  <c r="I138" i="1"/>
  <c r="J138" i="1" s="1"/>
  <c r="K138" i="1" s="1"/>
  <c r="I139" i="1"/>
  <c r="J139" i="1" s="1"/>
  <c r="K139" i="1" s="1"/>
  <c r="I140" i="1"/>
  <c r="J140" i="1" s="1"/>
  <c r="K140" i="1" s="1"/>
  <c r="I141" i="1"/>
  <c r="J141" i="1" s="1"/>
  <c r="K141" i="1" s="1"/>
  <c r="I142" i="1"/>
  <c r="J142" i="1" s="1"/>
  <c r="K142" i="1" s="1"/>
  <c r="I143" i="1"/>
  <c r="J143" i="1" s="1"/>
  <c r="K143" i="1" s="1"/>
  <c r="I144" i="1"/>
  <c r="J144" i="1" s="1"/>
  <c r="K144" i="1" s="1"/>
  <c r="I145" i="1"/>
  <c r="J145" i="1" s="1"/>
  <c r="K145" i="1" s="1"/>
  <c r="I146" i="1"/>
  <c r="J146" i="1" s="1"/>
  <c r="K146" i="1" s="1"/>
  <c r="I147" i="1"/>
  <c r="J147" i="1" s="1"/>
  <c r="K147" i="1" s="1"/>
  <c r="I148" i="1"/>
  <c r="J148" i="1" s="1"/>
  <c r="K148" i="1" s="1"/>
  <c r="I149" i="1"/>
  <c r="J149" i="1" s="1"/>
  <c r="K149" i="1" s="1"/>
  <c r="I150" i="1"/>
  <c r="J150" i="1" s="1"/>
  <c r="K150" i="1" s="1"/>
  <c r="H78" i="5"/>
  <c r="K110" i="2" l="1"/>
  <c r="I6" i="1"/>
  <c r="I6" i="7"/>
  <c r="I4" i="7" s="1"/>
  <c r="I6" i="6"/>
  <c r="I4" i="6" s="1"/>
  <c r="I6" i="4"/>
  <c r="J6" i="4" s="1"/>
  <c r="J4" i="4" s="1"/>
  <c r="J6" i="7" l="1"/>
  <c r="I4" i="1"/>
  <c r="J6" i="1"/>
  <c r="K6" i="1" s="1"/>
  <c r="K6" i="4"/>
  <c r="K4" i="4" s="1"/>
  <c r="I4" i="4"/>
  <c r="J6" i="6"/>
  <c r="I6" i="3"/>
  <c r="I4" i="3" s="1"/>
  <c r="I6" i="2"/>
  <c r="I4" i="2" s="1"/>
  <c r="H139" i="1"/>
  <c r="H150" i="1"/>
  <c r="H149" i="1"/>
  <c r="H148" i="1"/>
  <c r="H147" i="1"/>
  <c r="H146" i="1"/>
  <c r="H145" i="1"/>
  <c r="H144" i="1"/>
  <c r="H143" i="1"/>
  <c r="H142" i="1"/>
  <c r="H141" i="1"/>
  <c r="J103" i="2"/>
  <c r="K103" i="2" s="1"/>
  <c r="J102" i="2"/>
  <c r="K102" i="2" s="1"/>
  <c r="H102" i="2"/>
  <c r="H101" i="2"/>
  <c r="J101" i="2" s="1"/>
  <c r="K101" i="2" s="1"/>
  <c r="J100" i="2"/>
  <c r="K100" i="2" s="1"/>
  <c r="H156" i="4"/>
  <c r="H155" i="4"/>
  <c r="H150" i="4"/>
  <c r="H149" i="4"/>
  <c r="H148" i="4"/>
  <c r="H147" i="4"/>
  <c r="H146" i="4"/>
  <c r="H145" i="4"/>
  <c r="H69" i="4"/>
  <c r="H61" i="6"/>
  <c r="H60" i="6"/>
  <c r="H59" i="6"/>
  <c r="H58" i="6"/>
  <c r="H56" i="6"/>
  <c r="H55" i="6"/>
  <c r="H81" i="5"/>
  <c r="H80" i="5"/>
  <c r="H140" i="1"/>
  <c r="H138" i="1"/>
  <c r="H137" i="1"/>
  <c r="H136" i="1"/>
  <c r="H135" i="1"/>
  <c r="H134" i="1"/>
  <c r="H133" i="1"/>
  <c r="H132" i="1"/>
  <c r="H34" i="1"/>
  <c r="H131" i="1"/>
  <c r="R42" i="4"/>
  <c r="H45" i="4"/>
  <c r="P47" i="4"/>
  <c r="R47" i="4" s="1"/>
  <c r="H42" i="4"/>
  <c r="P123" i="4"/>
  <c r="R123" i="4" s="1"/>
  <c r="P41" i="4"/>
  <c r="R41" i="4" s="1"/>
  <c r="P125" i="4"/>
  <c r="R125" i="4" s="1"/>
  <c r="P124" i="4"/>
  <c r="R124" i="4" s="1"/>
  <c r="P49" i="4"/>
  <c r="R49" i="4" s="1"/>
  <c r="P46" i="4"/>
  <c r="R46" i="4" s="1"/>
  <c r="P44" i="4"/>
  <c r="R44" i="4" s="1"/>
  <c r="P24" i="4"/>
  <c r="R24" i="4" s="1"/>
  <c r="P32" i="4"/>
  <c r="R32" i="4" s="1"/>
  <c r="P87" i="1"/>
  <c r="K6" i="7" l="1"/>
  <c r="K4" i="7" s="1"/>
  <c r="J4" i="7"/>
  <c r="J6" i="2"/>
  <c r="K4" i="1"/>
  <c r="J4" i="1"/>
  <c r="J4" i="6"/>
  <c r="K6" i="6"/>
  <c r="K4" i="6" s="1"/>
  <c r="J6" i="3"/>
  <c r="P45" i="4"/>
  <c r="R45" i="4" s="1"/>
  <c r="R145" i="4" s="1"/>
  <c r="H132" i="4"/>
  <c r="H44" i="8"/>
  <c r="H25" i="7"/>
  <c r="H121" i="4"/>
  <c r="H122" i="4"/>
  <c r="H142" i="4"/>
  <c r="H141" i="4"/>
  <c r="H140" i="4"/>
  <c r="H139" i="4"/>
  <c r="H138" i="4"/>
  <c r="H137" i="4"/>
  <c r="H136" i="4"/>
  <c r="H135" i="4"/>
  <c r="H134" i="4"/>
  <c r="H133" i="4"/>
  <c r="H54" i="6"/>
  <c r="H53" i="6"/>
  <c r="H52" i="6"/>
  <c r="H51" i="6"/>
  <c r="H50" i="6"/>
  <c r="H49" i="6"/>
  <c r="H43" i="6"/>
  <c r="H64" i="5"/>
  <c r="H27" i="5"/>
  <c r="H73" i="5"/>
  <c r="H68" i="5"/>
  <c r="H46" i="5"/>
  <c r="H76" i="5"/>
  <c r="H65" i="5"/>
  <c r="H74" i="5"/>
  <c r="H39" i="5"/>
  <c r="H61" i="5"/>
  <c r="H16" i="5"/>
  <c r="H24" i="5"/>
  <c r="H10" i="5"/>
  <c r="H28" i="5"/>
  <c r="H48" i="5"/>
  <c r="H6" i="5"/>
  <c r="I6" i="5" s="1"/>
  <c r="H131" i="4"/>
  <c r="H16" i="6"/>
  <c r="H20" i="6"/>
  <c r="H18" i="6"/>
  <c r="H54" i="5"/>
  <c r="H45" i="5"/>
  <c r="H53" i="5"/>
  <c r="H57" i="5"/>
  <c r="H32" i="5"/>
  <c r="H29" i="5"/>
  <c r="H21" i="5"/>
  <c r="H12" i="5"/>
  <c r="H96" i="2"/>
  <c r="H20" i="5"/>
  <c r="H67" i="5"/>
  <c r="H36" i="5"/>
  <c r="H34" i="5"/>
  <c r="J4" i="2" l="1"/>
  <c r="K6" i="2"/>
  <c r="K4" i="2" s="1"/>
  <c r="J6" i="5"/>
  <c r="I4" i="5"/>
  <c r="K6" i="3"/>
  <c r="K4" i="3" s="1"/>
  <c r="J4" i="3"/>
  <c r="H130" i="4"/>
  <c r="H129" i="4"/>
  <c r="H128" i="4"/>
  <c r="H127" i="4"/>
  <c r="H126" i="4"/>
  <c r="H15" i="7"/>
  <c r="H14" i="7"/>
  <c r="H13" i="7"/>
  <c r="H24" i="7"/>
  <c r="H23" i="7"/>
  <c r="H22" i="7"/>
  <c r="H21" i="7"/>
  <c r="H20" i="7"/>
  <c r="H19" i="7"/>
  <c r="H18" i="7"/>
  <c r="H17" i="7"/>
  <c r="H16" i="7"/>
  <c r="H12" i="7"/>
  <c r="H11" i="7"/>
  <c r="H10" i="7"/>
  <c r="H9" i="7"/>
  <c r="H8" i="7"/>
  <c r="H7" i="7"/>
  <c r="H12" i="6"/>
  <c r="H48" i="6"/>
  <c r="H47" i="6"/>
  <c r="H38" i="6"/>
  <c r="H37" i="6"/>
  <c r="H36" i="6"/>
  <c r="H35" i="6"/>
  <c r="H34" i="6"/>
  <c r="H33" i="6"/>
  <c r="H32" i="6"/>
  <c r="H31" i="6"/>
  <c r="H29" i="6"/>
  <c r="H28" i="6"/>
  <c r="H27" i="6"/>
  <c r="H25" i="6"/>
  <c r="H26" i="6"/>
  <c r="H46" i="6"/>
  <c r="H44" i="6"/>
  <c r="H42" i="6"/>
  <c r="H41" i="6"/>
  <c r="H19" i="6"/>
  <c r="H17" i="6"/>
  <c r="H15" i="6"/>
  <c r="H14" i="6"/>
  <c r="H70" i="5"/>
  <c r="H51" i="5"/>
  <c r="H59" i="5"/>
  <c r="H72" i="5"/>
  <c r="H38" i="5"/>
  <c r="H42" i="5"/>
  <c r="H33" i="5"/>
  <c r="H43" i="5"/>
  <c r="H15" i="5"/>
  <c r="H8" i="5"/>
  <c r="H17" i="5"/>
  <c r="H79" i="5"/>
  <c r="H63" i="5"/>
  <c r="H41" i="5"/>
  <c r="H69" i="5"/>
  <c r="H77" i="5"/>
  <c r="H60" i="5"/>
  <c r="H23" i="5"/>
  <c r="H19" i="5"/>
  <c r="H75" i="5"/>
  <c r="H26" i="5"/>
  <c r="H9" i="5"/>
  <c r="H13" i="5"/>
  <c r="K6" i="5" l="1"/>
  <c r="K4" i="5" s="1"/>
  <c r="J4" i="5"/>
  <c r="J11" i="8" l="1"/>
  <c r="K11" i="8" s="1"/>
  <c r="J9" i="8"/>
  <c r="K9" i="8" s="1"/>
  <c r="J25" i="8"/>
  <c r="K25" i="8" s="1"/>
  <c r="J26" i="8"/>
  <c r="K26" i="8" s="1"/>
  <c r="J29" i="8"/>
  <c r="K29" i="8" s="1"/>
  <c r="K21" i="8"/>
  <c r="K20" i="8"/>
  <c r="J47" i="8"/>
  <c r="K47" i="8" s="1"/>
  <c r="J46" i="8"/>
  <c r="K46" i="8" s="1"/>
  <c r="J33" i="8"/>
  <c r="K33" i="8" s="1"/>
  <c r="J18" i="8"/>
  <c r="K18" i="8" s="1"/>
  <c r="J41" i="8"/>
  <c r="K41" i="8" s="1"/>
  <c r="J44" i="8"/>
  <c r="K44" i="8" s="1"/>
  <c r="J23" i="8"/>
  <c r="K23" i="8" s="1"/>
  <c r="J48" i="8"/>
  <c r="K48" i="8" s="1"/>
  <c r="K22" i="8"/>
  <c r="J43" i="8"/>
  <c r="K43" i="8" s="1"/>
  <c r="J42" i="8"/>
  <c r="K42" i="8" s="1"/>
  <c r="K19" i="8"/>
  <c r="J12" i="8"/>
  <c r="K12" i="8" s="1"/>
  <c r="J30" i="8"/>
  <c r="K30" i="8" s="1"/>
  <c r="J8" i="8"/>
  <c r="K8" i="8" s="1"/>
  <c r="J45" i="8"/>
  <c r="K45" i="8" s="1"/>
  <c r="J40" i="8"/>
  <c r="K40" i="8" s="1"/>
  <c r="J10" i="8"/>
  <c r="K10" i="8" s="1"/>
  <c r="J7" i="8"/>
  <c r="K7" i="8"/>
  <c r="J27" i="8"/>
  <c r="K27" i="8" s="1"/>
  <c r="J13" i="8"/>
  <c r="K13" i="8" s="1"/>
  <c r="J6" i="8"/>
  <c r="J4" i="8" s="1"/>
  <c r="I4" i="8"/>
  <c r="J32" i="8"/>
  <c r="K32" i="8" s="1"/>
  <c r="J31" i="8"/>
  <c r="K31" i="8" s="1"/>
  <c r="J24" i="8"/>
  <c r="K24" i="8" s="1"/>
  <c r="J28" i="8"/>
  <c r="K28" i="8" s="1"/>
  <c r="K6" i="8" l="1"/>
  <c r="K4" i="8" s="1"/>
</calcChain>
</file>

<file path=xl/sharedStrings.xml><?xml version="1.0" encoding="utf-8"?>
<sst xmlns="http://schemas.openxmlformats.org/spreadsheetml/2006/main" count="2697" uniqueCount="1793">
  <si>
    <t>REF INTERNA</t>
  </si>
  <si>
    <t>NOMBRE</t>
  </si>
  <si>
    <t>PROVEEDOR</t>
  </si>
  <si>
    <t>REFERENCIA</t>
  </si>
  <si>
    <t>COSTO</t>
  </si>
  <si>
    <t>P POR MAYOR</t>
  </si>
  <si>
    <t>AC001</t>
  </si>
  <si>
    <t>AC002</t>
  </si>
  <si>
    <t>AC034</t>
  </si>
  <si>
    <t>AC003</t>
  </si>
  <si>
    <t>AC004</t>
  </si>
  <si>
    <t>AC005</t>
  </si>
  <si>
    <t>AC006</t>
  </si>
  <si>
    <t>AC007</t>
  </si>
  <si>
    <t>AC008</t>
  </si>
  <si>
    <t>AC009</t>
  </si>
  <si>
    <t>AC010</t>
  </si>
  <si>
    <t>AC011</t>
  </si>
  <si>
    <t>AC012</t>
  </si>
  <si>
    <t>AC013</t>
  </si>
  <si>
    <t>AC014</t>
  </si>
  <si>
    <t>AC015</t>
  </si>
  <si>
    <t>AC016</t>
  </si>
  <si>
    <t>AC017</t>
  </si>
  <si>
    <t>AC018</t>
  </si>
  <si>
    <t>AC019</t>
  </si>
  <si>
    <t>AC020</t>
  </si>
  <si>
    <t>AC021</t>
  </si>
  <si>
    <t>AC022</t>
  </si>
  <si>
    <t>AC035</t>
  </si>
  <si>
    <t>AC023</t>
  </si>
  <si>
    <t>AC024</t>
  </si>
  <si>
    <t>AC025</t>
  </si>
  <si>
    <t>AC026</t>
  </si>
  <si>
    <t>AC027</t>
  </si>
  <si>
    <t>AC028</t>
  </si>
  <si>
    <t>AC029</t>
  </si>
  <si>
    <t>AC030</t>
  </si>
  <si>
    <t>AC031</t>
  </si>
  <si>
    <t>AC032</t>
  </si>
  <si>
    <t>AC033</t>
  </si>
  <si>
    <t>TOL015</t>
  </si>
  <si>
    <t>TOL016</t>
  </si>
  <si>
    <t>TOL017</t>
  </si>
  <si>
    <t>TOL018</t>
  </si>
  <si>
    <t>TOL019</t>
  </si>
  <si>
    <t>TOL020</t>
  </si>
  <si>
    <t>TOL021</t>
  </si>
  <si>
    <t>TOL022</t>
  </si>
  <si>
    <t>TOL023</t>
  </si>
  <si>
    <t>Topo Lujo Ala</t>
  </si>
  <si>
    <t>Topo Lujo VC Blanco</t>
  </si>
  <si>
    <t>Topo Religioso San Benito Pequeño</t>
  </si>
  <si>
    <t>Topo Religioso San Benito Grande</t>
  </si>
  <si>
    <t>Topo Lujo Balin #4</t>
  </si>
  <si>
    <t>Topo Lujo VC Verde</t>
  </si>
  <si>
    <t>Topo Lujo Rolex Silueta</t>
  </si>
  <si>
    <t>Topo Religioso Guadalupe Silueta</t>
  </si>
  <si>
    <t>Topo Lujo Gucci Lisos</t>
  </si>
  <si>
    <t>Topo Lujo VC Negro</t>
  </si>
  <si>
    <t>Topo Lujo Rolex Pequeño</t>
  </si>
  <si>
    <t>Topo Lujo Balin #3</t>
  </si>
  <si>
    <t>Topo Religioso Cruz Lisa</t>
  </si>
  <si>
    <t>Topo Lujo Signo Pesos</t>
  </si>
  <si>
    <t>Topo Lujo Ositos</t>
  </si>
  <si>
    <t>Topo Lujo Rolex Grande</t>
  </si>
  <si>
    <t>Candonga Circonada Pequeña</t>
  </si>
  <si>
    <t>Candonga Circonada Mediana</t>
  </si>
  <si>
    <t>Candonga Circonada Grande</t>
  </si>
  <si>
    <t>Topo Religioso Guadalupe Destellos</t>
  </si>
  <si>
    <t>Candonga Royal L</t>
  </si>
  <si>
    <t>Candonga Luminus</t>
  </si>
  <si>
    <t>Candonga Elegant</t>
  </si>
  <si>
    <t>Candonga Classic P</t>
  </si>
  <si>
    <t>Candonga GG</t>
  </si>
  <si>
    <t>Candonga Hills M</t>
  </si>
  <si>
    <t>Candonga CT Clou</t>
  </si>
  <si>
    <t>Candonga Click Circon blanca x7</t>
  </si>
  <si>
    <t>Candonga click circon verde x 9</t>
  </si>
  <si>
    <t>Candonga Tubo 13mm plana</t>
  </si>
  <si>
    <t>Candonga Hilo 18 mm</t>
  </si>
  <si>
    <t>Candonga click cartier delgada 12mm</t>
  </si>
  <si>
    <t>Candonga Plana</t>
  </si>
  <si>
    <t>Candonga Tubo delgado 19 mm</t>
  </si>
  <si>
    <t>Candonga click lisa 10 mm</t>
  </si>
  <si>
    <t>Candonga Click Lisa 13mm</t>
  </si>
  <si>
    <t>Candonga click lisa 14 mm</t>
  </si>
  <si>
    <t>Topo Lujo Balin #5 Liso</t>
  </si>
  <si>
    <t>Topo Lujo Granito de Cafe Verde</t>
  </si>
  <si>
    <t>Topo Lujo Chispa 2mm Verde</t>
  </si>
  <si>
    <t>Topo Lujo Chispa 2,5mm Blanco</t>
  </si>
  <si>
    <t>Candonga pequeña tubo triangulo 20mm</t>
  </si>
  <si>
    <t>Candonga balin circon centro 17mm</t>
  </si>
  <si>
    <t>Candonga tubo delgado 19mm</t>
  </si>
  <si>
    <t>Candonga bvl 13mm</t>
  </si>
  <si>
    <t>Candonga click liso 14mm</t>
  </si>
  <si>
    <t>Candonga enlazada x2 plana 16x20mm</t>
  </si>
  <si>
    <t>Candonga click torneada</t>
  </si>
  <si>
    <t>Candonga click cart delgada 14mm</t>
  </si>
  <si>
    <t>Candonga click circon bisel 15mm</t>
  </si>
  <si>
    <t>Candonga tubo 13mm</t>
  </si>
  <si>
    <t>Candonga bisel 20mm</t>
  </si>
  <si>
    <t>Candonga click entorchada zigzag</t>
  </si>
  <si>
    <t>Candonga click cartier 14mm</t>
  </si>
  <si>
    <t>Candonga hilo 18mm</t>
  </si>
  <si>
    <t>Candonga dije cruz 9x27mm</t>
  </si>
  <si>
    <t>Topo Lujo tio rico silueta</t>
  </si>
  <si>
    <t>Topo Lujo cuadrado rolex</t>
  </si>
  <si>
    <t>Topo Religioso milagrosa</t>
  </si>
  <si>
    <t>Topo Lujo Timon</t>
  </si>
  <si>
    <t>Topo Lujo 3 balines</t>
  </si>
  <si>
    <t>Topo Lujo Trebol circones grande</t>
  </si>
  <si>
    <t>Topo Lujo Balin #6</t>
  </si>
  <si>
    <t>Topo Lujo Corazon liso</t>
  </si>
  <si>
    <t>Topo Lujo Caja redonda azul</t>
  </si>
  <si>
    <t>Topo Lujo Chispa 2,5mm Rojo</t>
  </si>
  <si>
    <t/>
  </si>
  <si>
    <t>ZO1054</t>
  </si>
  <si>
    <t>NC0269</t>
  </si>
  <si>
    <t>ZO1077</t>
  </si>
  <si>
    <t>9031261</t>
  </si>
  <si>
    <t>9031246</t>
  </si>
  <si>
    <t>9030402</t>
  </si>
  <si>
    <t>9030409</t>
  </si>
  <si>
    <t>9031239</t>
  </si>
  <si>
    <t>9030243</t>
  </si>
  <si>
    <t>9030564</t>
  </si>
  <si>
    <t>9031219</t>
  </si>
  <si>
    <t>9031279</t>
  </si>
  <si>
    <t>9031282</t>
  </si>
  <si>
    <t>09030040</t>
  </si>
  <si>
    <t>FABRICA</t>
  </si>
  <si>
    <t>RIO</t>
  </si>
  <si>
    <t>BLZ</t>
  </si>
  <si>
    <t>IPM</t>
  </si>
  <si>
    <t>9030737</t>
  </si>
  <si>
    <t>9030793</t>
  </si>
  <si>
    <t>9031012</t>
  </si>
  <si>
    <t>9031289</t>
  </si>
  <si>
    <t>9030826</t>
  </si>
  <si>
    <t>9031292</t>
  </si>
  <si>
    <t>9031256</t>
  </si>
  <si>
    <t>9030256</t>
  </si>
  <si>
    <t>9031221</t>
  </si>
  <si>
    <t>9030985</t>
  </si>
  <si>
    <t>9010121</t>
  </si>
  <si>
    <t>HEA001-NEGRO</t>
  </si>
  <si>
    <t>Herraje Accesorio Rondel Negro 5mm</t>
  </si>
  <si>
    <t>HEL001</t>
  </si>
  <si>
    <t>Herraje Lujo Infinito Pequeño</t>
  </si>
  <si>
    <t>HEA002-VERDE</t>
  </si>
  <si>
    <t>Herraje Accesorio Rondel Verde 4mm</t>
  </si>
  <si>
    <t>HEL002</t>
  </si>
  <si>
    <t>Herraje Lujo Bolsa de Dinero</t>
  </si>
  <si>
    <t>HEL003-VERDE</t>
  </si>
  <si>
    <t>Herraje Lujo VC Verde Grande</t>
  </si>
  <si>
    <t>HEA001-VERDE</t>
  </si>
  <si>
    <t>Herraje Accesorio Rondel Verde 5mm</t>
  </si>
  <si>
    <t>HEL004</t>
  </si>
  <si>
    <t>Herraje Lujo Infinito Grande</t>
  </si>
  <si>
    <t>HEL003-BLANCO</t>
  </si>
  <si>
    <t>Herraje Lujo VC Blanco Grande</t>
  </si>
  <si>
    <t>HER001</t>
  </si>
  <si>
    <t>Herraje Religioso Virgen Milagrosa Italy Grande</t>
  </si>
  <si>
    <t>HEL006</t>
  </si>
  <si>
    <t>Herraje Lujo Caballo Pequeño</t>
  </si>
  <si>
    <t>HEL007</t>
  </si>
  <si>
    <t>Herraje Lujo Deportivo Cali</t>
  </si>
  <si>
    <t>HEL008-NEGRO</t>
  </si>
  <si>
    <t>Herraje Lujo VC Negro Mini</t>
  </si>
  <si>
    <t>HEL009</t>
  </si>
  <si>
    <t>Herraje Lujo Rolex Pequeño</t>
  </si>
  <si>
    <t>HEL010</t>
  </si>
  <si>
    <t>Herraje Lujo Caballo Grande</t>
  </si>
  <si>
    <t>HEL011</t>
  </si>
  <si>
    <t>Herraje Lujo Rolex Super</t>
  </si>
  <si>
    <t>HEL012</t>
  </si>
  <si>
    <t>Herraje Lujo Nacional Circonado</t>
  </si>
  <si>
    <t>HEL013</t>
  </si>
  <si>
    <t>Herraje Lujo Pasante Anillo Caballo</t>
  </si>
  <si>
    <t>HEL014</t>
  </si>
  <si>
    <t>Herraje Lujo Pasante Anillo Rolex Grande</t>
  </si>
  <si>
    <t>HEL015</t>
  </si>
  <si>
    <t>Herraje Lujo Cali Circonado</t>
  </si>
  <si>
    <t>HEL016</t>
  </si>
  <si>
    <t>Herraje Lujo Leon Rosado</t>
  </si>
  <si>
    <t>HER002</t>
  </si>
  <si>
    <t>Herraje Religioso Pasante Anillo Guadalupe</t>
  </si>
  <si>
    <t>HER003</t>
  </si>
  <si>
    <t>Herraje Religioso Cruz Oreja</t>
  </si>
  <si>
    <t>HER004</t>
  </si>
  <si>
    <t>Herraje Religioso Rostro Cristo Grande</t>
  </si>
  <si>
    <t>HEA001-CRISTAL</t>
  </si>
  <si>
    <t>Herraje Accesorio Rondel Cristal 5mm</t>
  </si>
  <si>
    <t>HER005</t>
  </si>
  <si>
    <t>Herraje Religioso San Benito Grande Orejas</t>
  </si>
  <si>
    <t>HER006</t>
  </si>
  <si>
    <t>Herraje Religioso San Benito Mediano Pasante</t>
  </si>
  <si>
    <t>HER007</t>
  </si>
  <si>
    <t>Herraje Religioso Virgen Milagrosa Italy Mediana</t>
  </si>
  <si>
    <t>HEL017</t>
  </si>
  <si>
    <t>Herraje Lujo Rolex Mediano Pasante</t>
  </si>
  <si>
    <t>HER008</t>
  </si>
  <si>
    <t>Herraje Religioso San Benito Grande Pasante</t>
  </si>
  <si>
    <t>HEA002-NEGRO</t>
  </si>
  <si>
    <t>Herraje Accesorio Rondel Negro 4mm</t>
  </si>
  <si>
    <t>HEA002-CRISTAL</t>
  </si>
  <si>
    <t>Herraje Accesorio Rondel Cristal 4mm</t>
  </si>
  <si>
    <t>HER009</t>
  </si>
  <si>
    <t>Herraje Religioso Pasante Anillo San Benito Pequeño</t>
  </si>
  <si>
    <t>HEL018</t>
  </si>
  <si>
    <t>Herraje Lujo VC Dorado Mediano</t>
  </si>
  <si>
    <t>HER010</t>
  </si>
  <si>
    <t>Herraje Religioso San Benito Mini Orejas</t>
  </si>
  <si>
    <t>HEL019</t>
  </si>
  <si>
    <t>Herraje Lujo America de Cali</t>
  </si>
  <si>
    <t>HEL020</t>
  </si>
  <si>
    <t>Herraje Lujo Pasante Anillo Rolex Pequeño</t>
  </si>
  <si>
    <t>HER011</t>
  </si>
  <si>
    <t>Herraje Religioso Virgen Guadalupe Mediana Orejas</t>
  </si>
  <si>
    <t>HER012</t>
  </si>
  <si>
    <t>Herraje Religioso San Benito Súper</t>
  </si>
  <si>
    <t>HER013</t>
  </si>
  <si>
    <t>Herraje Religioso San Benito Mediano Orejas</t>
  </si>
  <si>
    <t>HER014</t>
  </si>
  <si>
    <t>Herraje Religioso Virgen Guadalupe Mediana Pasante</t>
  </si>
  <si>
    <t>HER015</t>
  </si>
  <si>
    <t>Herraje Religioso Virgen Guadalupe Silueta Mediana</t>
  </si>
  <si>
    <t>HEL003-NEGRO</t>
  </si>
  <si>
    <t>Herraje Lujo VC Negro Grande</t>
  </si>
  <si>
    <t>HEL022</t>
  </si>
  <si>
    <t>Herraje Lujo Rolex Grande</t>
  </si>
  <si>
    <t>HER016</t>
  </si>
  <si>
    <t>Herraje Religioso Virgen Guadalupe Silueta Super</t>
  </si>
  <si>
    <t>HER031</t>
  </si>
  <si>
    <t>Herraje Religioso Pasante Anillo San Benito Grande</t>
  </si>
  <si>
    <t>HER017</t>
  </si>
  <si>
    <t>Herraje Religioso San José</t>
  </si>
  <si>
    <t>HER018</t>
  </si>
  <si>
    <t>Herraje Religioso Virgen Guadalupe Grande Orejas</t>
  </si>
  <si>
    <t>HEL023</t>
  </si>
  <si>
    <t>Herraje Lujo Billete grande</t>
  </si>
  <si>
    <t>HER019</t>
  </si>
  <si>
    <t>Herraje Religioso Rostro Cristo Silueta</t>
  </si>
  <si>
    <t>HER020</t>
  </si>
  <si>
    <t>Herraje Religioso Pergamino Divino niño</t>
  </si>
  <si>
    <t>HER021</t>
  </si>
  <si>
    <t>Herraje Religioso San Judas Tadeo Redondo</t>
  </si>
  <si>
    <t>HEL003-DORADO</t>
  </si>
  <si>
    <t>Herraje Lujo VC dorado grande</t>
  </si>
  <si>
    <t>HEL025</t>
  </si>
  <si>
    <t>Herraje Lujo Nacional</t>
  </si>
  <si>
    <t>HEL026</t>
  </si>
  <si>
    <t>Herraje Lujo Barcelona</t>
  </si>
  <si>
    <t>HEL027</t>
  </si>
  <si>
    <t>Herraje Lujo Real Madrid</t>
  </si>
  <si>
    <t>HEL028</t>
  </si>
  <si>
    <t>Herraje Lujo Billete Pequeño</t>
  </si>
  <si>
    <t>HEL029</t>
  </si>
  <si>
    <t>Herraje Lujo Nacional Pasante</t>
  </si>
  <si>
    <t>HEL030</t>
  </si>
  <si>
    <t>Herraje Lujo Placa Ovalada pequeña</t>
  </si>
  <si>
    <t>HEL031</t>
  </si>
  <si>
    <t>Herraje Lujo Placa cuadrada grande</t>
  </si>
  <si>
    <t>HEL032</t>
  </si>
  <si>
    <t>Herraje Lujo Rolex sello circones blancos</t>
  </si>
  <si>
    <t>HEL033</t>
  </si>
  <si>
    <t>Herraje Lujo Virgen Milagrosa Mini orejas</t>
  </si>
  <si>
    <t>HEL003-ROJO</t>
  </si>
  <si>
    <t>Herraje Lujo VC rojo grande</t>
  </si>
  <si>
    <t>HEL008-BLANCO</t>
  </si>
  <si>
    <t>Herraje Lujo VC blanco mini</t>
  </si>
  <si>
    <t>HEL008-VERDE</t>
  </si>
  <si>
    <t>Herraje Lujo VC verde mini</t>
  </si>
  <si>
    <t>HER022</t>
  </si>
  <si>
    <t>Herraje Religioso San Miguel Arcangel Grande orejas</t>
  </si>
  <si>
    <t>HEL037</t>
  </si>
  <si>
    <t>Herraje Lujo Nacional Pasante Pequeño</t>
  </si>
  <si>
    <t>HEL038</t>
  </si>
  <si>
    <t>Herraje Lujo Corazon Bisel orejas</t>
  </si>
  <si>
    <t>HEL039</t>
  </si>
  <si>
    <t>Herraje Lujo Medellin Orejas</t>
  </si>
  <si>
    <t>HER023</t>
  </si>
  <si>
    <t>Herraje Religioso Estrella De David Orejas</t>
  </si>
  <si>
    <t>HEL040</t>
  </si>
  <si>
    <t>Herraje Lujo Tio Rico Bolsas orejas</t>
  </si>
  <si>
    <t>HEL041</t>
  </si>
  <si>
    <t>Herraje Lujo Tio Rico Silueta</t>
  </si>
  <si>
    <t>HER024</t>
  </si>
  <si>
    <t>Herraje Religioso San miguel ovaloado</t>
  </si>
  <si>
    <t>HER025</t>
  </si>
  <si>
    <t>Herraje Religioso sagrada familia</t>
  </si>
  <si>
    <t>HEL042</t>
  </si>
  <si>
    <t>Herraje Lujo Ancla silueta orejas</t>
  </si>
  <si>
    <t>HER026</t>
  </si>
  <si>
    <t>Herraje Religioso Pergamino Rostro Orejas</t>
  </si>
  <si>
    <t>HER027</t>
  </si>
  <si>
    <t>Herraje Religioso Rostro Jesus Macizo orejas</t>
  </si>
  <si>
    <t>HEL043</t>
  </si>
  <si>
    <t>Herraje Lujo Timon Pequeño Orejas</t>
  </si>
  <si>
    <t>HER029</t>
  </si>
  <si>
    <t>Herraje Religioso Cruz Maciza Rostro Grande</t>
  </si>
  <si>
    <t>HEL044</t>
  </si>
  <si>
    <t>Herraje Lujo Osito Liso pequeño orejas</t>
  </si>
  <si>
    <t>HER030</t>
  </si>
  <si>
    <t>Herraje Religioso Cruz madero inri orejas</t>
  </si>
  <si>
    <t>24800-N</t>
  </si>
  <si>
    <t>24799-V</t>
  </si>
  <si>
    <t>24800-V</t>
  </si>
  <si>
    <t>XO174</t>
  </si>
  <si>
    <t>NC0420</t>
  </si>
  <si>
    <t>24800-C</t>
  </si>
  <si>
    <t>24799-N</t>
  </si>
  <si>
    <t>24799-C</t>
  </si>
  <si>
    <t>RG01-54</t>
  </si>
  <si>
    <t>17500</t>
  </si>
  <si>
    <t>12600</t>
  </si>
  <si>
    <t>43200</t>
  </si>
  <si>
    <t>25200</t>
  </si>
  <si>
    <t>11840</t>
  </si>
  <si>
    <t>12160</t>
  </si>
  <si>
    <t>6400</t>
  </si>
  <si>
    <t>16650</t>
  </si>
  <si>
    <t>12480</t>
  </si>
  <si>
    <t>8640</t>
  </si>
  <si>
    <t>19200</t>
  </si>
  <si>
    <t>30080</t>
  </si>
  <si>
    <t>XO175</t>
  </si>
  <si>
    <t>13760</t>
  </si>
  <si>
    <t>76800</t>
  </si>
  <si>
    <t>22720</t>
  </si>
  <si>
    <t>21120</t>
  </si>
  <si>
    <t>17280</t>
  </si>
  <si>
    <t>9280</t>
  </si>
  <si>
    <t>10240</t>
  </si>
  <si>
    <t>15360</t>
  </si>
  <si>
    <t>22400</t>
  </si>
  <si>
    <t>12800</t>
  </si>
  <si>
    <t>21760</t>
  </si>
  <si>
    <t>10560</t>
  </si>
  <si>
    <t>7680</t>
  </si>
  <si>
    <t>21440</t>
  </si>
  <si>
    <t>19520</t>
  </si>
  <si>
    <t>8960</t>
  </si>
  <si>
    <t>7360</t>
  </si>
  <si>
    <t>18880</t>
  </si>
  <si>
    <t>26880</t>
  </si>
  <si>
    <t>27520</t>
  </si>
  <si>
    <t>19840</t>
  </si>
  <si>
    <t>32000</t>
  </si>
  <si>
    <t>35200</t>
  </si>
  <si>
    <t>BCF</t>
  </si>
  <si>
    <t>Balin Canutillo Frances x1</t>
  </si>
  <si>
    <t>BF4</t>
  </si>
  <si>
    <t>Balin Francés #4</t>
  </si>
  <si>
    <t>BF5</t>
  </si>
  <si>
    <t>Balin Francés #5</t>
  </si>
  <si>
    <t>BL3</t>
  </si>
  <si>
    <t>Balin Liso #3</t>
  </si>
  <si>
    <t>BF6</t>
  </si>
  <si>
    <t>Balin Francés #6</t>
  </si>
  <si>
    <t>BL5</t>
  </si>
  <si>
    <t>Balin Liso #5</t>
  </si>
  <si>
    <t>BL4</t>
  </si>
  <si>
    <t>Balin Liso #4</t>
  </si>
  <si>
    <t>BLR4</t>
  </si>
  <si>
    <t>Balin Liso Rosado #4</t>
  </si>
  <si>
    <t>BL8</t>
  </si>
  <si>
    <t>Balin Liso #8</t>
  </si>
  <si>
    <t>BL6</t>
  </si>
  <si>
    <t>Balin Liso #6</t>
  </si>
  <si>
    <t>BF8</t>
  </si>
  <si>
    <t>Balin Francés #8</t>
  </si>
  <si>
    <t>BD4</t>
  </si>
  <si>
    <t>Balin Diamantado #4</t>
  </si>
  <si>
    <t>BLR5</t>
  </si>
  <si>
    <t>Balin Liso Rosado #5</t>
  </si>
  <si>
    <t>BD5</t>
  </si>
  <si>
    <t>Balin Diamantado #5</t>
  </si>
  <si>
    <t>BD6</t>
  </si>
  <si>
    <t>Balin Diamantado #6</t>
  </si>
  <si>
    <t>BD8</t>
  </si>
  <si>
    <t>Balin Diamantado #8</t>
  </si>
  <si>
    <t>BLR6</t>
  </si>
  <si>
    <t>Balin Liso Rosado #6</t>
  </si>
  <si>
    <t>BD3</t>
  </si>
  <si>
    <t>Balin Diamantado #3</t>
  </si>
  <si>
    <t>BCD</t>
  </si>
  <si>
    <t xml:space="preserve">Balin Canutillo Diamantado </t>
  </si>
  <si>
    <t>BDR4</t>
  </si>
  <si>
    <t>Balin Diamantado Rosado #4</t>
  </si>
  <si>
    <t>BDR6</t>
  </si>
  <si>
    <t>Balin Diamantado Rosado #6</t>
  </si>
  <si>
    <t>BDR3</t>
  </si>
  <si>
    <t>Balin Diamantado Rosado #3</t>
  </si>
  <si>
    <t>PO0420</t>
  </si>
  <si>
    <t>XO77</t>
  </si>
  <si>
    <t>XO74</t>
  </si>
  <si>
    <t>XO75</t>
  </si>
  <si>
    <t>XO73</t>
  </si>
  <si>
    <t>X100-2</t>
  </si>
  <si>
    <t>YL0501-1</t>
  </si>
  <si>
    <t>YL0501-3</t>
  </si>
  <si>
    <t>YL0501-2</t>
  </si>
  <si>
    <t>DIR001</t>
  </si>
  <si>
    <t>Dije Religioso Divino Niño</t>
  </si>
  <si>
    <t>DIL001</t>
  </si>
  <si>
    <t>Dije Lujo Avion Liso</t>
  </si>
  <si>
    <t>DIR002</t>
  </si>
  <si>
    <t>Dije Religioso Cruz Pequeña 1</t>
  </si>
  <si>
    <t>DIL002</t>
  </si>
  <si>
    <t>Dije Lujo Huella Tallada</t>
  </si>
  <si>
    <t>DIR003</t>
  </si>
  <si>
    <t>Dije Religioso Virgen Guadalupe Diamantada Pequeña</t>
  </si>
  <si>
    <t>DIL004</t>
  </si>
  <si>
    <t>Dije Lujo Cabeza de Caballo</t>
  </si>
  <si>
    <t>DIL005</t>
  </si>
  <si>
    <t>Dije Lujo Nota Musical</t>
  </si>
  <si>
    <t>DIR004</t>
  </si>
  <si>
    <t>Dije Religioso Cruz Inri Macizo</t>
  </si>
  <si>
    <t>DIR005</t>
  </si>
  <si>
    <t>Dije Religioso San Benito Circonado</t>
  </si>
  <si>
    <t>DIR006</t>
  </si>
  <si>
    <t>Dije Religioso San Benito 8mm</t>
  </si>
  <si>
    <t>DIR007</t>
  </si>
  <si>
    <t>Dije Religioso Guadalupe 14x27mm</t>
  </si>
  <si>
    <t>DIL007-NEGRO</t>
  </si>
  <si>
    <t>Dije Lujo VC Negro</t>
  </si>
  <si>
    <t>DIR008</t>
  </si>
  <si>
    <t>Dije Religioso Sagrado Rostro</t>
  </si>
  <si>
    <t>DIR009</t>
  </si>
  <si>
    <t>Dije Religioso Ovalo sagrado corazon de maria</t>
  </si>
  <si>
    <t>DIL008</t>
  </si>
  <si>
    <t>Dije Lujo Leon Macizo</t>
  </si>
  <si>
    <t>DIL009</t>
  </si>
  <si>
    <t>Dije Lujo Silueta Rolex</t>
  </si>
  <si>
    <t>DIR010</t>
  </si>
  <si>
    <t>Dije Religioso Silueta Guadalupe MED</t>
  </si>
  <si>
    <t>DIL057-J</t>
  </si>
  <si>
    <t>Dije Lujo Silueta J</t>
  </si>
  <si>
    <t>DIL007-VERDE</t>
  </si>
  <si>
    <t>Dije Lujo VC Verde</t>
  </si>
  <si>
    <t>DIR011</t>
  </si>
  <si>
    <t>Dije Religioso Medalla Guadalupe MED</t>
  </si>
  <si>
    <t>DIR012</t>
  </si>
  <si>
    <t>Dije Religioso Cruz San Benito Diamantada</t>
  </si>
  <si>
    <t>DIL013</t>
  </si>
  <si>
    <t>Dije Lujo Placa Leon</t>
  </si>
  <si>
    <t>DIL014</t>
  </si>
  <si>
    <t>Dije Lujo Mariposa Lisa</t>
  </si>
  <si>
    <t>DIR013</t>
  </si>
  <si>
    <t>Dije Religioso Ovalo sagrado corazon de jesus</t>
  </si>
  <si>
    <t>DIR014</t>
  </si>
  <si>
    <t>Dije Religioso Silueta Angel</t>
  </si>
  <si>
    <t>DIR015</t>
  </si>
  <si>
    <t>Dije Religioso San Benito Mediano</t>
  </si>
  <si>
    <t>DIR016</t>
  </si>
  <si>
    <t>Dije Religioso San Miguel ARCANGEL</t>
  </si>
  <si>
    <t>DIL057-V</t>
  </si>
  <si>
    <t>Dije Lujo Silueta V</t>
  </si>
  <si>
    <t>DIL016</t>
  </si>
  <si>
    <t>Dije Lujo Elefante Liso</t>
  </si>
  <si>
    <t>DIR017</t>
  </si>
  <si>
    <t>Dije Religioso Cruz Pequeña 2</t>
  </si>
  <si>
    <t>DIL017</t>
  </si>
  <si>
    <t>Dije Lujo Huella Lisa</t>
  </si>
  <si>
    <t>DIR018</t>
  </si>
  <si>
    <t>Dije Religioso Guadalupe especial cristal</t>
  </si>
  <si>
    <t>DIL018</t>
  </si>
  <si>
    <t>Dije Lujo Oso Tous</t>
  </si>
  <si>
    <t>DIL019</t>
  </si>
  <si>
    <t>Dije Lujo Corazon Soplado Pequeño</t>
  </si>
  <si>
    <t>DIR019</t>
  </si>
  <si>
    <t>Dije Religioso Guadalupe especial colores</t>
  </si>
  <si>
    <t>DIL020</t>
  </si>
  <si>
    <t>Dije Lujo Rolex Pequeño Diamantado</t>
  </si>
  <si>
    <t>DIL021</t>
  </si>
  <si>
    <t>Dije Lujo Bolsa Dinero</t>
  </si>
  <si>
    <t>DIR020</t>
  </si>
  <si>
    <t>Dije Religioso San Judas Tadeo</t>
  </si>
  <si>
    <t>DIL007-BLANCO</t>
  </si>
  <si>
    <t>Dije Lujo VC Blanco</t>
  </si>
  <si>
    <t>DIR021</t>
  </si>
  <si>
    <t>Dije Religioso Virgen Guadalupe Silueta</t>
  </si>
  <si>
    <t>DIR022</t>
  </si>
  <si>
    <t>Dije Religioso San Judas Tadeo Redondo</t>
  </si>
  <si>
    <t>DIL023</t>
  </si>
  <si>
    <t>Dije Lujo Oso pequeño</t>
  </si>
  <si>
    <t>DIL024</t>
  </si>
  <si>
    <t>Dije Lujo Corazon Silueta Liso</t>
  </si>
  <si>
    <t>DIR023</t>
  </si>
  <si>
    <t>Dije Religioso Rostro Cristo Silueta</t>
  </si>
  <si>
    <t>DIL025</t>
  </si>
  <si>
    <t>Dije Lujo Calavera</t>
  </si>
  <si>
    <t>DIL026</t>
  </si>
  <si>
    <t>Dije Lujo billete grande</t>
  </si>
  <si>
    <t>DIL027</t>
  </si>
  <si>
    <t>Dije Lujo Revolver</t>
  </si>
  <si>
    <t>DIL028</t>
  </si>
  <si>
    <t>Dije Lujo Fusil</t>
  </si>
  <si>
    <t>DIR024</t>
  </si>
  <si>
    <t>Dije Religioso Medalla Guadalupe Circones multicolor</t>
  </si>
  <si>
    <t>DIR025</t>
  </si>
  <si>
    <t>Dije Religioso Ovalo Guadalupe multicolor med</t>
  </si>
  <si>
    <t>DIL030</t>
  </si>
  <si>
    <t>Dije Lujo Placa Lisa 15x32</t>
  </si>
  <si>
    <t>DIL031</t>
  </si>
  <si>
    <t>Dije Lujo Corona Rolex redondo circon verde</t>
  </si>
  <si>
    <t>DIL032</t>
  </si>
  <si>
    <t>Dije Lujo Signo dolar redondo circon verde</t>
  </si>
  <si>
    <t>DIL033</t>
  </si>
  <si>
    <t>Dije Lujo Cruz Plana pequeña</t>
  </si>
  <si>
    <t>DIL034</t>
  </si>
  <si>
    <t>Dije Lujo Ancla Lisa 17x32</t>
  </si>
  <si>
    <t>DIR026</t>
  </si>
  <si>
    <t>Dije Religioso Cruz pequeña circon negro</t>
  </si>
  <si>
    <t>DIR027</t>
  </si>
  <si>
    <t>Dije Religioso Cruz Cristo 25x50</t>
  </si>
  <si>
    <t>DIL035</t>
  </si>
  <si>
    <t>Dije Lujo Herradura caballo Mediana IPM</t>
  </si>
  <si>
    <t>DIL036</t>
  </si>
  <si>
    <t>Dije Lujo Herradura Caballo Pequeña</t>
  </si>
  <si>
    <t>DIR028</t>
  </si>
  <si>
    <t>Dije Religioso Cruz con Rostro</t>
  </si>
  <si>
    <t>DIR029</t>
  </si>
  <si>
    <t>Dije Religioso Virgen Milagrosa Silueta</t>
  </si>
  <si>
    <t>DIR030</t>
  </si>
  <si>
    <t>Dije Religioso Cruz Diamantada Pequeña</t>
  </si>
  <si>
    <t>DIR031</t>
  </si>
  <si>
    <t>Dije Religioso Virgen Milagrosa Pequeña</t>
  </si>
  <si>
    <t>DIL037</t>
  </si>
  <si>
    <t>Dije Lujo Herradura Caballo Grande</t>
  </si>
  <si>
    <t>DIL038</t>
  </si>
  <si>
    <t>Dije Lujo Huella Lisa 2</t>
  </si>
  <si>
    <t>DIR032</t>
  </si>
  <si>
    <t>Dije Religioso Medalla San Gabriel</t>
  </si>
  <si>
    <t>DIR033</t>
  </si>
  <si>
    <t>Dije Religioso Cruz Esmeralda Grande</t>
  </si>
  <si>
    <t>DIR034</t>
  </si>
  <si>
    <t>Dije Religioso San Miguel Arcangel Grande Diamantado</t>
  </si>
  <si>
    <t>DIR035</t>
  </si>
  <si>
    <t>Dije Religioso placa med cruz troquel mini</t>
  </si>
  <si>
    <t>DIL039</t>
  </si>
  <si>
    <t>Dije Lujo circon corazon bisel</t>
  </si>
  <si>
    <t>DIL040-A</t>
  </si>
  <si>
    <t>Dije Lujo Letra A microcircon blanco</t>
  </si>
  <si>
    <t>DIL040-M</t>
  </si>
  <si>
    <t>Dije Lujo letra M microcircon blanco</t>
  </si>
  <si>
    <t>DIL040-L</t>
  </si>
  <si>
    <t>Dije Lujo letra L microcircon blanco</t>
  </si>
  <si>
    <t>DIL040-J</t>
  </si>
  <si>
    <t>Dije Lujo letra J microcircon blanco</t>
  </si>
  <si>
    <t>DIL040-K</t>
  </si>
  <si>
    <t>Dije Lujo letra K microcircon blanco</t>
  </si>
  <si>
    <t>DIL040-P</t>
  </si>
  <si>
    <t>Dije Lujo letra P microcircon blanco</t>
  </si>
  <si>
    <t>DIR036</t>
  </si>
  <si>
    <t>Dije Religioso medalla san miguel pequeña</t>
  </si>
  <si>
    <t>DIL046-ROSA</t>
  </si>
  <si>
    <t>Dije Lujo corazon pequeño microcircon rosado</t>
  </si>
  <si>
    <t>DIL046-AZUL</t>
  </si>
  <si>
    <t>Dije Lujo corazon pequeño microcircon azul</t>
  </si>
  <si>
    <t>DIL048-A</t>
  </si>
  <si>
    <t>Dije Lujo letra A circon verde</t>
  </si>
  <si>
    <t>DIL048-L</t>
  </si>
  <si>
    <t>Dije Lujo letra L circon verde</t>
  </si>
  <si>
    <t>DIL048-S</t>
  </si>
  <si>
    <t>Dije Lujo letra S circon verde</t>
  </si>
  <si>
    <t>DIL048-J</t>
  </si>
  <si>
    <t>Dije Lujo letra J circon verde</t>
  </si>
  <si>
    <t>DIL048-R</t>
  </si>
  <si>
    <t>Dije Lujo letra R circon verde</t>
  </si>
  <si>
    <t>DIL048-P</t>
  </si>
  <si>
    <t>Dije Lujo letra P circon verde</t>
  </si>
  <si>
    <t>DIL048-M</t>
  </si>
  <si>
    <t>Dije Lujo letra M circon verde</t>
  </si>
  <si>
    <t>DIL048-K</t>
  </si>
  <si>
    <t>Dije Lujo letra K circon verde</t>
  </si>
  <si>
    <t>DIR037</t>
  </si>
  <si>
    <t>Dije Religioso cruz circon 11x23mm</t>
  </si>
  <si>
    <t>DIL056-A</t>
  </si>
  <si>
    <t>Dije Lujo letra placa A</t>
  </si>
  <si>
    <t>DIL056-F</t>
  </si>
  <si>
    <t>Dije Lujo letra placa F</t>
  </si>
  <si>
    <t>DIL056-I</t>
  </si>
  <si>
    <t>Dije Lujo letra placa I</t>
  </si>
  <si>
    <t>DIL056-G</t>
  </si>
  <si>
    <t>Dije Lujo letra placa G</t>
  </si>
  <si>
    <t>DIL056-P</t>
  </si>
  <si>
    <t>Dije Lujo letra placa P</t>
  </si>
  <si>
    <t>DIL056-R</t>
  </si>
  <si>
    <t>Dije Lujo letra placa R</t>
  </si>
  <si>
    <t>DIL057-A</t>
  </si>
  <si>
    <t>Dije Lujo letra silueta A</t>
  </si>
  <si>
    <t>DIL057-C</t>
  </si>
  <si>
    <t>Dije Lujo letra silueta C</t>
  </si>
  <si>
    <t>DIL057-F</t>
  </si>
  <si>
    <t>Dije Lujo letra silueta F</t>
  </si>
  <si>
    <t>DIL057-K</t>
  </si>
  <si>
    <t>Dije Lujo letra silueta K</t>
  </si>
  <si>
    <t>DIL057-M</t>
  </si>
  <si>
    <t>Dije Lujo letra silueta M</t>
  </si>
  <si>
    <t>DIL057-R</t>
  </si>
  <si>
    <t>Dije Lujo letra silueta R</t>
  </si>
  <si>
    <t>DIL057-L</t>
  </si>
  <si>
    <t>Dije Lujo letra silueta L</t>
  </si>
  <si>
    <t>DIL057-T</t>
  </si>
  <si>
    <t>Dije Lujo letra silueta T</t>
  </si>
  <si>
    <t>DIL070</t>
  </si>
  <si>
    <t>Dije Lujo Bulgari 10mm</t>
  </si>
  <si>
    <t>DIL071</t>
  </si>
  <si>
    <t>Dije Lujo VC negro ceramica</t>
  </si>
  <si>
    <t>DIR038</t>
  </si>
  <si>
    <t>Dije Religioso cruz lisa inri</t>
  </si>
  <si>
    <t>DIR039</t>
  </si>
  <si>
    <t>Dije Religioso Cruz crucificado puntas</t>
  </si>
  <si>
    <t>DIL072</t>
  </si>
  <si>
    <t>Dije Lujo Billete grande circonado</t>
  </si>
  <si>
    <t>DIR040</t>
  </si>
  <si>
    <t>Dije Religioso Cruz diamante grande</t>
  </si>
  <si>
    <t>DIR041</t>
  </si>
  <si>
    <t>Dije Religioso Estrella de david</t>
  </si>
  <si>
    <t>DIR042</t>
  </si>
  <si>
    <t>Dije Religioso Cruz manos sagradas</t>
  </si>
  <si>
    <t>DIR043</t>
  </si>
  <si>
    <t>Dije Religioso Fe silueta grande</t>
  </si>
  <si>
    <t>DIR044</t>
  </si>
  <si>
    <t>Dije Religioso Milagrosa grande circonada</t>
  </si>
  <si>
    <t>DIL073-VERDE</t>
  </si>
  <si>
    <t>Dije Lujo circon verde redondo</t>
  </si>
  <si>
    <t>DIL073-BLANCO</t>
  </si>
  <si>
    <t>Dije Lujo circon blanco redondo</t>
  </si>
  <si>
    <t>DIL075</t>
  </si>
  <si>
    <t>Dije Lujo Tio Rico Bolsas</t>
  </si>
  <si>
    <t>DIL076</t>
  </si>
  <si>
    <t>Dije Lujo Tio Rico Silueta</t>
  </si>
  <si>
    <t>9131015</t>
  </si>
  <si>
    <t>9130361</t>
  </si>
  <si>
    <t>9130208</t>
  </si>
  <si>
    <t>9130356</t>
  </si>
  <si>
    <t>BC7002</t>
  </si>
  <si>
    <t>9130903</t>
  </si>
  <si>
    <t>9130556</t>
  </si>
  <si>
    <t>ZO1042</t>
  </si>
  <si>
    <t>XO23</t>
  </si>
  <si>
    <t>9130821</t>
  </si>
  <si>
    <t>9130820</t>
  </si>
  <si>
    <t>9130023</t>
  </si>
  <si>
    <t>9130817</t>
  </si>
  <si>
    <t>X004</t>
  </si>
  <si>
    <t>9130575</t>
  </si>
  <si>
    <t>MCB196</t>
  </si>
  <si>
    <t>DLS0010</t>
  </si>
  <si>
    <t>BC7019</t>
  </si>
  <si>
    <t>9130712</t>
  </si>
  <si>
    <t>DOL0018</t>
  </si>
  <si>
    <t>9130918</t>
  </si>
  <si>
    <t>9130816</t>
  </si>
  <si>
    <t>9130024</t>
  </si>
  <si>
    <t>DLS0020</t>
  </si>
  <si>
    <t>9130920</t>
  </si>
  <si>
    <t>9130027</t>
  </si>
  <si>
    <t>9131008</t>
  </si>
  <si>
    <t>MCP2200</t>
  </si>
  <si>
    <t>9130851</t>
  </si>
  <si>
    <t>X0315</t>
  </si>
  <si>
    <t>XO372</t>
  </si>
  <si>
    <t>9130913</t>
  </si>
  <si>
    <t>YL1002-5</t>
  </si>
  <si>
    <t>YL0101-28</t>
  </si>
  <si>
    <t>RG01-19</t>
  </si>
  <si>
    <t>XO682</t>
  </si>
  <si>
    <t>YL0101-26</t>
  </si>
  <si>
    <t>MCB129</t>
  </si>
  <si>
    <t>27130</t>
  </si>
  <si>
    <t>28022</t>
  </si>
  <si>
    <t>28218</t>
  </si>
  <si>
    <t>9131107</t>
  </si>
  <si>
    <t>09130933-A</t>
  </si>
  <si>
    <t>09130933-F</t>
  </si>
  <si>
    <t>09130933-I</t>
  </si>
  <si>
    <t>09130933-G</t>
  </si>
  <si>
    <t>09130933-P</t>
  </si>
  <si>
    <t>09130933-R</t>
  </si>
  <si>
    <t>09131169-A</t>
  </si>
  <si>
    <t>09131169-C</t>
  </si>
  <si>
    <t>09131169-F</t>
  </si>
  <si>
    <t>09131169-K</t>
  </si>
  <si>
    <t>09131169-M</t>
  </si>
  <si>
    <t>09131169-R</t>
  </si>
  <si>
    <t>09131169-P</t>
  </si>
  <si>
    <t>09131169-T</t>
  </si>
  <si>
    <t>09131063</t>
  </si>
  <si>
    <t>RG01-9</t>
  </si>
  <si>
    <t>XO145</t>
  </si>
  <si>
    <t>EM0427</t>
  </si>
  <si>
    <t>YL0100-19</t>
  </si>
  <si>
    <t>YL0100-2</t>
  </si>
  <si>
    <t>EM0253</t>
  </si>
  <si>
    <t>MCP1161</t>
  </si>
  <si>
    <t>BC0347</t>
  </si>
  <si>
    <t>MCP141</t>
  </si>
  <si>
    <t>9131194</t>
  </si>
  <si>
    <t>9130515</t>
  </si>
  <si>
    <t>9130749</t>
  </si>
  <si>
    <t>9131064</t>
  </si>
  <si>
    <t>9130927</t>
  </si>
  <si>
    <t>9131159</t>
  </si>
  <si>
    <t>9130443</t>
  </si>
  <si>
    <t>9130953</t>
  </si>
  <si>
    <t>9130778</t>
  </si>
  <si>
    <t>9131140</t>
  </si>
  <si>
    <t>9130070</t>
  </si>
  <si>
    <t>9130806</t>
  </si>
  <si>
    <t>9130487</t>
  </si>
  <si>
    <t>9130809-A</t>
  </si>
  <si>
    <t>9130809-M</t>
  </si>
  <si>
    <t>9130809-L</t>
  </si>
  <si>
    <t>9130809-J</t>
  </si>
  <si>
    <t>9130809-K</t>
  </si>
  <si>
    <t>9130809-P</t>
  </si>
  <si>
    <t>9130346</t>
  </si>
  <si>
    <t>9130350-R</t>
  </si>
  <si>
    <t>9130350-A</t>
  </si>
  <si>
    <t>9131130-A</t>
  </si>
  <si>
    <t>9131130-L</t>
  </si>
  <si>
    <t>9131130-S</t>
  </si>
  <si>
    <t>9131130-J</t>
  </si>
  <si>
    <t>9131130-R</t>
  </si>
  <si>
    <t>9131130-P</t>
  </si>
  <si>
    <t>9131130-M</t>
  </si>
  <si>
    <t>9131130-K</t>
  </si>
  <si>
    <t>OROCOL</t>
  </si>
  <si>
    <t>SIZI</t>
  </si>
  <si>
    <t>CA60001</t>
  </si>
  <si>
    <t>Cadena 5x2 60 cm</t>
  </si>
  <si>
    <t>CA45001</t>
  </si>
  <si>
    <t>Cadena Aros Balín 45 cm</t>
  </si>
  <si>
    <t>CA50001</t>
  </si>
  <si>
    <t>Cadena China 2mm 50 cm</t>
  </si>
  <si>
    <t>CA60002</t>
  </si>
  <si>
    <t>Cadena Cartier 2.5 mm 60 cm</t>
  </si>
  <si>
    <t>CA45002</t>
  </si>
  <si>
    <t>Cadena Cubana Destellos 45 cm</t>
  </si>
  <si>
    <t>CA60003</t>
  </si>
  <si>
    <t>Cadena Cubanita 60 cm</t>
  </si>
  <si>
    <t>CA45003</t>
  </si>
  <si>
    <t>Cadena Singapur 45 cm</t>
  </si>
  <si>
    <t>CA60004</t>
  </si>
  <si>
    <t>Cadena Escapulario Virgen Guadalupe 60 cm</t>
  </si>
  <si>
    <t>CA60005</t>
  </si>
  <si>
    <t>Cadena Singapur 60 cm</t>
  </si>
  <si>
    <t>CA60006</t>
  </si>
  <si>
    <t>Cadena Lazo 1.5 mm 60 cm</t>
  </si>
  <si>
    <t>CA50002</t>
  </si>
  <si>
    <t>Cadena Lazo 1.5 mm 50 cm</t>
  </si>
  <si>
    <t>CA45004</t>
  </si>
  <si>
    <t>Cadena Militar Finita 45 cm</t>
  </si>
  <si>
    <t>CA60007</t>
  </si>
  <si>
    <t>Cadena Cubana 2.5 mm 60 cm</t>
  </si>
  <si>
    <t>CA40001</t>
  </si>
  <si>
    <t>Cadena Veneciana 40 cm</t>
  </si>
  <si>
    <t>CA50003</t>
  </si>
  <si>
    <t>Cadena Cubana 50 cm</t>
  </si>
  <si>
    <t>CA50004</t>
  </si>
  <si>
    <t>Cadena Lazo 1.2mm 50 cm</t>
  </si>
  <si>
    <t>CA45005</t>
  </si>
  <si>
    <t>Cadena Veneciana 45 cm</t>
  </si>
  <si>
    <t>CA45020</t>
  </si>
  <si>
    <t>Cadena Cubana Espejo 45cm</t>
  </si>
  <si>
    <t>CA60008</t>
  </si>
  <si>
    <t>Cadena Lazo 1.2mm 60 cm</t>
  </si>
  <si>
    <t>CA45006</t>
  </si>
  <si>
    <t>Cadena Aros 45 cm</t>
  </si>
  <si>
    <t>CA60009</t>
  </si>
  <si>
    <t>Cadena China 2mm 60 cm</t>
  </si>
  <si>
    <t>Cadena Camandula Milagrosa Diamantada 50 cm</t>
  </si>
  <si>
    <t>CA40002</t>
  </si>
  <si>
    <t>Cadena Crispeta 40 cm</t>
  </si>
  <si>
    <t>CA45007</t>
  </si>
  <si>
    <t>Cadena Veneciana Rosada 45 cm</t>
  </si>
  <si>
    <t>CA60010</t>
  </si>
  <si>
    <t>Cadena Escalera 60 cm</t>
  </si>
  <si>
    <t>CA50006</t>
  </si>
  <si>
    <t>Cadena Gucci Infinito 50 cm</t>
  </si>
  <si>
    <t>CA60011</t>
  </si>
  <si>
    <t>Cadena Singapur 2mm 60 cm</t>
  </si>
  <si>
    <t>CA60012</t>
  </si>
  <si>
    <t>Cadena Cartier 2 mm 60 cm</t>
  </si>
  <si>
    <t>CA60013</t>
  </si>
  <si>
    <t>Cadena Espejo 60 cm</t>
  </si>
  <si>
    <t>CA45008</t>
  </si>
  <si>
    <t>Cadena Marina 45 cm</t>
  </si>
  <si>
    <t>CA60014</t>
  </si>
  <si>
    <t>Cadena Escalera 3 mm 60 cm</t>
  </si>
  <si>
    <t>CA45009</t>
  </si>
  <si>
    <t>Cadena Ojitos 45 cm</t>
  </si>
  <si>
    <t>CA45010</t>
  </si>
  <si>
    <t>Cadena Cubana Balin 45 cm</t>
  </si>
  <si>
    <t>CA45011</t>
  </si>
  <si>
    <t>Cadena Full destellos 45 cm</t>
  </si>
  <si>
    <t>CA45012</t>
  </si>
  <si>
    <t>Cadena Cubana Destello Alargado 45 cm</t>
  </si>
  <si>
    <t>CA45013</t>
  </si>
  <si>
    <t>Cadena Veneciana 1mm 45 cm</t>
  </si>
  <si>
    <t>CA45014</t>
  </si>
  <si>
    <t>Cadena Escalera Tallada 2.5mm 45 cm</t>
  </si>
  <si>
    <t>CA60015</t>
  </si>
  <si>
    <t>Cadena Cruzada Tallada 3mm 60 cm</t>
  </si>
  <si>
    <t>CA45021</t>
  </si>
  <si>
    <t>Rosario 2.5mm 45cm</t>
  </si>
  <si>
    <t>CA50007</t>
  </si>
  <si>
    <t>Cadena Cubanita 50 cm</t>
  </si>
  <si>
    <t>09080387</t>
  </si>
  <si>
    <t>Pulsera gucci - 20cm x 8mm</t>
  </si>
  <si>
    <t>CA60021</t>
  </si>
  <si>
    <t>Cadena Rosada militar diamantada 4 mm 60 cm</t>
  </si>
  <si>
    <t>CA60016</t>
  </si>
  <si>
    <t>Cadena Rosada Militar diamantada 2mm 60 cm</t>
  </si>
  <si>
    <t>CA60017</t>
  </si>
  <si>
    <t>Cadena Rosada Escalera 60 cm</t>
  </si>
  <si>
    <t>CA60018</t>
  </si>
  <si>
    <t>Cadena Rosada Gucci 60 cm</t>
  </si>
  <si>
    <t>CA60019</t>
  </si>
  <si>
    <t>Cadena Rosada Lazo 5mm 60 cm</t>
  </si>
  <si>
    <t>CA45015</t>
  </si>
  <si>
    <t>Cadena China 2mm 45 cm</t>
  </si>
  <si>
    <t>CA60020</t>
  </si>
  <si>
    <t>Cadena Gucci 4 mm 60 cm</t>
  </si>
  <si>
    <t>CA50008</t>
  </si>
  <si>
    <t>CA50009</t>
  </si>
  <si>
    <t>Cadena Crispeta 50 cm</t>
  </si>
  <si>
    <t>CA45016</t>
  </si>
  <si>
    <t>Cadena Cubana mini 45 cm</t>
  </si>
  <si>
    <t>CA45017</t>
  </si>
  <si>
    <t>Cadena Aros 1mm 45 cm</t>
  </si>
  <si>
    <t>CA45018</t>
  </si>
  <si>
    <t>Cadena Singapur 1mm 45 cm</t>
  </si>
  <si>
    <t>CA45019</t>
  </si>
  <si>
    <t>Cadena Cubana 3 destellos linea 45 cm</t>
  </si>
  <si>
    <t>CAD586</t>
  </si>
  <si>
    <t>XO576</t>
  </si>
  <si>
    <t>XO799</t>
  </si>
  <si>
    <t>629</t>
  </si>
  <si>
    <t>XO439</t>
  </si>
  <si>
    <t>CAD20</t>
  </si>
  <si>
    <t>5</t>
  </si>
  <si>
    <t>CMS0003</t>
  </si>
  <si>
    <t>118</t>
  </si>
  <si>
    <t>278</t>
  </si>
  <si>
    <t>630</t>
  </si>
  <si>
    <t>XO848</t>
  </si>
  <si>
    <t>YL4004-4</t>
  </si>
  <si>
    <t>YL4003-2</t>
  </si>
  <si>
    <t>YL4002-4</t>
  </si>
  <si>
    <t>NC0518</t>
  </si>
  <si>
    <t>YL4003-1</t>
  </si>
  <si>
    <t>YL0401-6</t>
  </si>
  <si>
    <t>YL4002-2</t>
  </si>
  <si>
    <t>XO409</t>
  </si>
  <si>
    <t>YL4003-3</t>
  </si>
  <si>
    <t>BC1060</t>
  </si>
  <si>
    <t>46217</t>
  </si>
  <si>
    <t>46397</t>
  </si>
  <si>
    <t>46703</t>
  </si>
  <si>
    <t>48254</t>
  </si>
  <si>
    <t>YL0403-3</t>
  </si>
  <si>
    <t>YL0403-2</t>
  </si>
  <si>
    <t>XO385</t>
  </si>
  <si>
    <t>NC0262</t>
  </si>
  <si>
    <t>YL0403-4</t>
  </si>
  <si>
    <t>YL4003-4</t>
  </si>
  <si>
    <t>YL4004-2</t>
  </si>
  <si>
    <t>YL0401-17</t>
  </si>
  <si>
    <t>YL0401-20</t>
  </si>
  <si>
    <t>YL0400-2</t>
  </si>
  <si>
    <t>YL0401-16</t>
  </si>
  <si>
    <t>PERLEY</t>
  </si>
  <si>
    <t>LUMO</t>
  </si>
  <si>
    <t>9100001</t>
  </si>
  <si>
    <t>9070134</t>
  </si>
  <si>
    <t>9080387</t>
  </si>
  <si>
    <t>9070333</t>
  </si>
  <si>
    <t>9070475</t>
  </si>
  <si>
    <t>9070595</t>
  </si>
  <si>
    <t>CMG0003</t>
  </si>
  <si>
    <t>PU20001</t>
  </si>
  <si>
    <t>Pulsera cubana 2.5 mm 20 cm</t>
  </si>
  <si>
    <t>PU21001</t>
  </si>
  <si>
    <t>Pulsera Imperial 21 cm</t>
  </si>
  <si>
    <t>PU21002</t>
  </si>
  <si>
    <t>Pulsera Militar Diamantada 21 cm</t>
  </si>
  <si>
    <t>PU18001</t>
  </si>
  <si>
    <t>Pulsera VC blanca 18 cm</t>
  </si>
  <si>
    <t>PU18002</t>
  </si>
  <si>
    <t>Pulsera VC Verde 18 cm</t>
  </si>
  <si>
    <t>PU15001</t>
  </si>
  <si>
    <t>Pulsera Cartier 15 cm</t>
  </si>
  <si>
    <t>PU20002</t>
  </si>
  <si>
    <t>Pulsera China 2 mm 20 cm</t>
  </si>
  <si>
    <t>PU21003</t>
  </si>
  <si>
    <t>Pulsera VC Negra 21 cm</t>
  </si>
  <si>
    <t>PU19001</t>
  </si>
  <si>
    <t>Pulsera Lazo 1.2mm 19 cm</t>
  </si>
  <si>
    <t>PU21004</t>
  </si>
  <si>
    <t>Pulsera China 2mm 21 cm</t>
  </si>
  <si>
    <t>PU18003</t>
  </si>
  <si>
    <t>Pulsera China 2mm 18 cm</t>
  </si>
  <si>
    <t>PU16001</t>
  </si>
  <si>
    <t>Pulsera Cartier 16 cm</t>
  </si>
  <si>
    <t>PU20003</t>
  </si>
  <si>
    <t>Pulsera Cartier 20 cm</t>
  </si>
  <si>
    <t>PU21005</t>
  </si>
  <si>
    <t>Pulsera Cubana 21 cm</t>
  </si>
  <si>
    <t>PU18019</t>
  </si>
  <si>
    <t>Pulsera Cubana 18 cm</t>
  </si>
  <si>
    <t>PURUGUCCIDI20</t>
  </si>
  <si>
    <t>Pulsera Rustica Gucci Diamantada 20 cm</t>
  </si>
  <si>
    <t>PU20004</t>
  </si>
  <si>
    <t>Pulsera Tenis Verde 20 cm</t>
  </si>
  <si>
    <t>PU20005</t>
  </si>
  <si>
    <t>Pulsera Tenis Negra 20 cm</t>
  </si>
  <si>
    <t>PU20006</t>
  </si>
  <si>
    <t>Pulsera Tenis Cristal 20 cm</t>
  </si>
  <si>
    <t>PU18015</t>
  </si>
  <si>
    <t>Pulsera China 7 mm 18 cm</t>
  </si>
  <si>
    <t>PU18016</t>
  </si>
  <si>
    <t>Pulsera Gucci 3 Van Cleef Blanco 18 cm</t>
  </si>
  <si>
    <t>PU14001</t>
  </si>
  <si>
    <t>PULSERA 1X1 PLACA CORAZON 14CM</t>
  </si>
  <si>
    <t>PU18004</t>
  </si>
  <si>
    <t>PULSERA ESCALERA DIAMAN 3MM 18CM</t>
  </si>
  <si>
    <t>PU18005</t>
  </si>
  <si>
    <t>PULSERA GUCCI TREBOL X3 3MM 18CM</t>
  </si>
  <si>
    <t>PU18017</t>
  </si>
  <si>
    <t>PULSERA SINGAPUR BOLA 2MM 18 cm</t>
  </si>
  <si>
    <t>PU14002</t>
  </si>
  <si>
    <t>PULSERA PLACA GUCCI CORAZON 14CM</t>
  </si>
  <si>
    <t>PU18006</t>
  </si>
  <si>
    <t>PULSERA CARACOL 2MM 18 CM</t>
  </si>
  <si>
    <t>PU20007</t>
  </si>
  <si>
    <t>PULSERA PLANA 2.6MM 20CM</t>
  </si>
  <si>
    <t>PU18007</t>
  </si>
  <si>
    <t>PULSERA ESCALERA PLANA 3.5 MM 18 CM</t>
  </si>
  <si>
    <t>PU18008</t>
  </si>
  <si>
    <t>PULSERA ESCALERA PLANA 2MM 18CM</t>
  </si>
  <si>
    <t>PU18009</t>
  </si>
  <si>
    <t>PULSERA CARTIER 2.1MM 18CM</t>
  </si>
  <si>
    <t>PU14003</t>
  </si>
  <si>
    <t>PULSERA ESCALERA PLACA CORAZON 14CM</t>
  </si>
  <si>
    <t>PU20008</t>
  </si>
  <si>
    <t>PULSERA CUBANA 2MM 20CM</t>
  </si>
  <si>
    <t>PU20009</t>
  </si>
  <si>
    <t>Pulsera Dubai 20 cm</t>
  </si>
  <si>
    <t>PU20010</t>
  </si>
  <si>
    <t>Pulsera Tornillo 20 cm</t>
  </si>
  <si>
    <t>PU18010</t>
  </si>
  <si>
    <t>Pulsera Caracol Finita 18 cm</t>
  </si>
  <si>
    <t>PU19002</t>
  </si>
  <si>
    <t>Pulsera Gucci 19 cm</t>
  </si>
  <si>
    <t>PU18011</t>
  </si>
  <si>
    <t>Pulsera Gucci 3mm 18 cm</t>
  </si>
  <si>
    <t>PU18012</t>
  </si>
  <si>
    <t>Pulsera Aros 18 cm</t>
  </si>
  <si>
    <t>PU18013</t>
  </si>
  <si>
    <t>Pulsera VC negra 3 trebol 18 cm</t>
  </si>
  <si>
    <t>PU20011</t>
  </si>
  <si>
    <t>Pulsera Cubana 20 cm</t>
  </si>
  <si>
    <t>PU18014</t>
  </si>
  <si>
    <t>Pulsera gucci VC negro 18cm 5mm</t>
  </si>
  <si>
    <t>PU18018</t>
  </si>
  <si>
    <t>Pulsera van cleef diamantada 3 trebol 18 cm</t>
  </si>
  <si>
    <t>455</t>
  </si>
  <si>
    <t>436</t>
  </si>
  <si>
    <t>294</t>
  </si>
  <si>
    <t>PULS343</t>
  </si>
  <si>
    <t>PULS358</t>
  </si>
  <si>
    <t>453</t>
  </si>
  <si>
    <t>PHT0001</t>
  </si>
  <si>
    <t>459</t>
  </si>
  <si>
    <t>YL4003-6</t>
  </si>
  <si>
    <t>YL4001-7</t>
  </si>
  <si>
    <t>YL4001-6</t>
  </si>
  <si>
    <t>XO680</t>
  </si>
  <si>
    <t>XO679</t>
  </si>
  <si>
    <t>YL4001-9</t>
  </si>
  <si>
    <t>YL4002-13</t>
  </si>
  <si>
    <t>MC607</t>
  </si>
  <si>
    <t>YL4001-10</t>
  </si>
  <si>
    <t>56342</t>
  </si>
  <si>
    <t>9080347</t>
  </si>
  <si>
    <t>9080393</t>
  </si>
  <si>
    <t>9080346</t>
  </si>
  <si>
    <t>9080366</t>
  </si>
  <si>
    <t>9080395</t>
  </si>
  <si>
    <t>9080078</t>
  </si>
  <si>
    <t>9080344</t>
  </si>
  <si>
    <t>9080398</t>
  </si>
  <si>
    <t>9080317</t>
  </si>
  <si>
    <t>9080184</t>
  </si>
  <si>
    <t>9080381</t>
  </si>
  <si>
    <t>9080284</t>
  </si>
  <si>
    <t>9080345</t>
  </si>
  <si>
    <t>9080397</t>
  </si>
  <si>
    <t>9080392</t>
  </si>
  <si>
    <t>9080369</t>
  </si>
  <si>
    <t>TB23001</t>
  </si>
  <si>
    <t>Tobillera Gucci 23 cm</t>
  </si>
  <si>
    <t>TB27001</t>
  </si>
  <si>
    <t>Tobillera Cubana Espejo 27 cm</t>
  </si>
  <si>
    <t>TB30001</t>
  </si>
  <si>
    <t>Tobillera Crispeta 30 cm</t>
  </si>
  <si>
    <t>TB29501</t>
  </si>
  <si>
    <t>Tobillera Cubana 29,5 cm</t>
  </si>
  <si>
    <t>TB29001</t>
  </si>
  <si>
    <t>Tobillera Cartier 29 cm</t>
  </si>
  <si>
    <t>TB27501</t>
  </si>
  <si>
    <t>Tobillera China 27.5 cm</t>
  </si>
  <si>
    <t>TB27002</t>
  </si>
  <si>
    <t>Tobillera Aros Balin 27 cm</t>
  </si>
  <si>
    <t>TB25001</t>
  </si>
  <si>
    <t>Tobillera Balin 2 mm 25 cm</t>
  </si>
  <si>
    <t>TB25002</t>
  </si>
  <si>
    <t>Tobillera Gucci mini maciza 25 cm</t>
  </si>
  <si>
    <t>TB25003</t>
  </si>
  <si>
    <t>Tobillera Denaria Milagrosa 25 cm</t>
  </si>
  <si>
    <t>TB28001</t>
  </si>
  <si>
    <t>Tobillera Caracol 28 cm</t>
  </si>
  <si>
    <t>TB28002</t>
  </si>
  <si>
    <t>Tobillera 3 escalera 28 cm</t>
  </si>
  <si>
    <t>TB30002</t>
  </si>
  <si>
    <t>Tobillera Gucci clasica 30 cm</t>
  </si>
  <si>
    <t>TB28003</t>
  </si>
  <si>
    <t>Tobillera Tenis Verde 28 cm</t>
  </si>
  <si>
    <t>TB29002</t>
  </si>
  <si>
    <t>Tobillera Cartier 3,5 mm 29 cm</t>
  </si>
  <si>
    <t>TB29003</t>
  </si>
  <si>
    <t>Tobillera Escalera 3mm 29 cm</t>
  </si>
  <si>
    <t>TB27502</t>
  </si>
  <si>
    <t>Tobillera Lazo 27.5 cm</t>
  </si>
  <si>
    <t>TB28004</t>
  </si>
  <si>
    <t>Tobillera Cubana plana 2.5mm 28 cm</t>
  </si>
  <si>
    <t>TB25004</t>
  </si>
  <si>
    <t>Tobillera Gucci 8 mm 25 cm</t>
  </si>
  <si>
    <t>TOB01</t>
  </si>
  <si>
    <t>XO716</t>
  </si>
  <si>
    <t>XO703</t>
  </si>
  <si>
    <t>YL4004-6</t>
  </si>
  <si>
    <t>XO673</t>
  </si>
  <si>
    <t>YL4001-4</t>
  </si>
  <si>
    <t>XO674</t>
  </si>
  <si>
    <t>XO814</t>
  </si>
  <si>
    <t>YL0400-4</t>
  </si>
  <si>
    <t>XO79</t>
  </si>
  <si>
    <t>EM0558</t>
  </si>
  <si>
    <t>XO726</t>
  </si>
  <si>
    <t>XO512</t>
  </si>
  <si>
    <t>YL0400-5</t>
  </si>
  <si>
    <t>XO398</t>
  </si>
  <si>
    <t>PO9149</t>
  </si>
  <si>
    <t>9110013</t>
  </si>
  <si>
    <t>9110088</t>
  </si>
  <si>
    <t>9110110</t>
  </si>
  <si>
    <t>IN001-NEGRO</t>
  </si>
  <si>
    <t>Insumo Hilo Negro 1mm 270m</t>
  </si>
  <si>
    <t>IN002</t>
  </si>
  <si>
    <t>Insumo Tabla Diseño</t>
  </si>
  <si>
    <t>Insumo Hilo Rojo 0.8mm 100m</t>
  </si>
  <si>
    <t>IN004</t>
  </si>
  <si>
    <t>Insumo Tabla Tejer</t>
  </si>
  <si>
    <t>IN003-NEGRO</t>
  </si>
  <si>
    <t>Insumo Hilo Negro 0.8mm 100m</t>
  </si>
  <si>
    <t>IN005</t>
  </si>
  <si>
    <t>Insumo Tubo Manilla</t>
  </si>
  <si>
    <t>IN001-ROJO</t>
  </si>
  <si>
    <t>Insumo Hilo Rojo 1mm 270m</t>
  </si>
  <si>
    <t>IN006-ROJO</t>
  </si>
  <si>
    <t>Insumo Hilo Rojo 1mm 70m</t>
  </si>
  <si>
    <t>IN007-NEGRO</t>
  </si>
  <si>
    <t>Neopreno Negro 6mm</t>
  </si>
  <si>
    <t>IN008-ROJO</t>
  </si>
  <si>
    <t>Neopreno Rojo 5mm</t>
  </si>
  <si>
    <t>IN008-NEGRO</t>
  </si>
  <si>
    <t>Neopreno Negro 5mm</t>
  </si>
  <si>
    <t>IN007-ROJO</t>
  </si>
  <si>
    <t>Neopreno Rojo 6mm</t>
  </si>
  <si>
    <t>IN009</t>
  </si>
  <si>
    <t>Caja Generica x1</t>
  </si>
  <si>
    <t>IN010-NEGRO</t>
  </si>
  <si>
    <t>Neopreno Argollado Negro 8mm</t>
  </si>
  <si>
    <t>IN010-ROJO</t>
  </si>
  <si>
    <t>Neopreno Argollado Rojo 8mm</t>
  </si>
  <si>
    <t>IN011-ROJO</t>
  </si>
  <si>
    <t>Neopreno Argollado Rojo 6mm</t>
  </si>
  <si>
    <t>IN011-NEGRO</t>
  </si>
  <si>
    <t>Neopreno Argollado Negro 6mm</t>
  </si>
  <si>
    <t>IN003-DORADO</t>
  </si>
  <si>
    <t>Insumo Hilo Dorado 0.8mm</t>
  </si>
  <si>
    <t>IN012</t>
  </si>
  <si>
    <t>Caja Generia Anillo Acrilico</t>
  </si>
  <si>
    <t>IN006-NEGRO</t>
  </si>
  <si>
    <t>Insumo Hilo Negro 1mm 70m</t>
  </si>
  <si>
    <t>IN006-DORADO</t>
  </si>
  <si>
    <t>Insumo Hilo Dorado 1mm 70m</t>
  </si>
  <si>
    <t>IN003-ROSA</t>
  </si>
  <si>
    <t>Insumo Hilo Rosado 0.8mm 100m</t>
  </si>
  <si>
    <t>IN003-BLANCO</t>
  </si>
  <si>
    <t>Insumo Hilo Blanco 0.8mm 100m</t>
  </si>
  <si>
    <t>IN006-BLANCO</t>
  </si>
  <si>
    <t>Insumo Hilo Blanco 1mm 70m</t>
  </si>
  <si>
    <t>IN006-AZUL</t>
  </si>
  <si>
    <t>Insumo Hilo Azul 1mm 70m</t>
  </si>
  <si>
    <t>IN003-AZUL</t>
  </si>
  <si>
    <t>Insumo Hilo Azul 0.8mm 100m</t>
  </si>
  <si>
    <t>IN006-VERDE</t>
  </si>
  <si>
    <t>Insumo Hilo Verde 1mm 70m</t>
  </si>
  <si>
    <t>IN003-VERDE</t>
  </si>
  <si>
    <t>Insumo Hilo Verde 0.8mm 100m</t>
  </si>
  <si>
    <t>IN007-AZUL</t>
  </si>
  <si>
    <t>Neopreno Azul 6mm</t>
  </si>
  <si>
    <t>IN007-ROSA</t>
  </si>
  <si>
    <t>Neopreno Rosado 6mm</t>
  </si>
  <si>
    <t>IN007-BLANCO</t>
  </si>
  <si>
    <t>Neopreno Blanco 6mm</t>
  </si>
  <si>
    <t>IN011-BLANCO</t>
  </si>
  <si>
    <t>Neopreno Argollado Blanco 6mm</t>
  </si>
  <si>
    <t>IN007-VERDE</t>
  </si>
  <si>
    <t>Neopreno Verde 6mm</t>
  </si>
  <si>
    <t>IN007-AMARILLO</t>
  </si>
  <si>
    <t>Neopreno Amarillo 6mm</t>
  </si>
  <si>
    <t>IN013</t>
  </si>
  <si>
    <t>Cuello mediano</t>
  </si>
  <si>
    <t>LILI</t>
  </si>
  <si>
    <t>SANTORINI</t>
  </si>
  <si>
    <t>OTERO</t>
  </si>
  <si>
    <t>KATY</t>
  </si>
  <si>
    <t>IRMA</t>
  </si>
  <si>
    <t>BEADS</t>
  </si>
  <si>
    <t>Topo Lujo VC Rojo</t>
  </si>
  <si>
    <t>Topo Lujo VC Rosado</t>
  </si>
  <si>
    <t>Topo Lujo VC Azul</t>
  </si>
  <si>
    <t>TOL024-NEGRO</t>
  </si>
  <si>
    <t>Topo Lujo VC Negro mini</t>
  </si>
  <si>
    <t>TOL024-BLANCO</t>
  </si>
  <si>
    <t>Topo Lujo VC Blanco mini</t>
  </si>
  <si>
    <t>TOL024-VERDE</t>
  </si>
  <si>
    <t>Topo Lujo VC Verde mini</t>
  </si>
  <si>
    <t>TOL024-ROJO</t>
  </si>
  <si>
    <t>Topo Lujo VC Rojo mini</t>
  </si>
  <si>
    <t>TOL024-ROSADO</t>
  </si>
  <si>
    <t>Topo Lujo VC Rosado mini</t>
  </si>
  <si>
    <t>TOL024-AZUL</t>
  </si>
  <si>
    <t>Topo Lujo VC Azul mini</t>
  </si>
  <si>
    <t>TOL025</t>
  </si>
  <si>
    <t xml:space="preserve">Topo Lujo Channel </t>
  </si>
  <si>
    <t>TOL026</t>
  </si>
  <si>
    <t xml:space="preserve">Topo Lujo LV </t>
  </si>
  <si>
    <t>TOL027</t>
  </si>
  <si>
    <t xml:space="preserve">Topo Lujo Grano de café verde  </t>
  </si>
  <si>
    <t>TOL028</t>
  </si>
  <si>
    <t xml:space="preserve">Topo Lujo Huellitas </t>
  </si>
  <si>
    <t>TOL029</t>
  </si>
  <si>
    <t>TOL030</t>
  </si>
  <si>
    <t>Topo Lujo Perla #6</t>
  </si>
  <si>
    <t>TOL031</t>
  </si>
  <si>
    <t xml:space="preserve">Topo Lujo Balin #8 </t>
  </si>
  <si>
    <t>TOL032-BLANCO</t>
  </si>
  <si>
    <t>Topo Lujo Delfin Blanco</t>
  </si>
  <si>
    <t>TOL032-VERDE</t>
  </si>
  <si>
    <t>Topo Lujo Delfin Verde</t>
  </si>
  <si>
    <t>TOL033-VERDE</t>
  </si>
  <si>
    <t>Topo Lujo Chispa 4mm Verde</t>
  </si>
  <si>
    <t>TOL033-BLANCO</t>
  </si>
  <si>
    <t>Topo Lujo Chispa 4mm Blanco</t>
  </si>
  <si>
    <t>TOL034-BLANCO</t>
  </si>
  <si>
    <t>Topo Lujo Chispa 6mm Blanco</t>
  </si>
  <si>
    <t>TOL035</t>
  </si>
  <si>
    <t>Topo Lujo Chispa Gucci Diamantados</t>
  </si>
  <si>
    <t>HEL008-ROSADO</t>
  </si>
  <si>
    <t>Herraje Lujo VC rosado mini</t>
  </si>
  <si>
    <t>HEL003-ROSADO</t>
  </si>
  <si>
    <t>Herraje Lujo VC rosado Grande</t>
  </si>
  <si>
    <t>HEL003-AZUL</t>
  </si>
  <si>
    <t>Herraje Lujo VC azul Grande</t>
  </si>
  <si>
    <t>HEL045</t>
  </si>
  <si>
    <t>Herraje Lujo Corazon Diamantado Orejas</t>
  </si>
  <si>
    <t>HEL046</t>
  </si>
  <si>
    <t xml:space="preserve">Herraje Lujo LV pasante </t>
  </si>
  <si>
    <t>HEL047</t>
  </si>
  <si>
    <t xml:space="preserve">Herraje Lujo Channel pasante </t>
  </si>
  <si>
    <t>DIL007-AZUL</t>
  </si>
  <si>
    <t>Dije Lujo VC Azul</t>
  </si>
  <si>
    <t>13920</t>
  </si>
  <si>
    <t>TOL36-AZUL</t>
  </si>
  <si>
    <t>Topo Lujo Chispa 2,5mm Azul</t>
  </si>
  <si>
    <t>TOL36-AMATISTA</t>
  </si>
  <si>
    <t>Topo Lujo Chispa 2,5mm AMATISTA</t>
  </si>
  <si>
    <t>TOL36-ROSA</t>
  </si>
  <si>
    <t>Topo Lujo Chispa 2,5mm ROSA</t>
  </si>
  <si>
    <t>Topo Lujo Chispa 4mm RUBI</t>
  </si>
  <si>
    <t>TOL033-RUBI</t>
  </si>
  <si>
    <t>TOL033-AMATISTA</t>
  </si>
  <si>
    <t>Topo Lujo Chispa 4mm AMATISTA</t>
  </si>
  <si>
    <t>TOL033-AZUL</t>
  </si>
  <si>
    <t>Topo Lujo Chispa 4mm AZUL</t>
  </si>
  <si>
    <t>TOL033-ROSA</t>
  </si>
  <si>
    <t>Topo Lujo Chispa 4mm ROSA</t>
  </si>
  <si>
    <t>TOL037-ROSA</t>
  </si>
  <si>
    <t>Topo Lujo Chispa 5 mm ROSA</t>
  </si>
  <si>
    <t>TOL037-AZUL</t>
  </si>
  <si>
    <t>Topo Lujo Chispa 5 mm AZUL</t>
  </si>
  <si>
    <t>Topo Lujo Chispa 5 mm RUBI</t>
  </si>
  <si>
    <t>TOL037-RUBI</t>
  </si>
  <si>
    <t>Topo Lujo Chispa 6mm VERDE</t>
  </si>
  <si>
    <t>TOL034-VERDE</t>
  </si>
  <si>
    <t>TOL034-RUBI</t>
  </si>
  <si>
    <t>Topo Lujo Chispa 6mm RUBI</t>
  </si>
  <si>
    <t>TOL038-ROSA</t>
  </si>
  <si>
    <t>Topo Lujo Trebol Rosado Pequeño</t>
  </si>
  <si>
    <t>TOL038-VERDE</t>
  </si>
  <si>
    <t>Topo Lujo Trebol Verde Pequeño</t>
  </si>
  <si>
    <t>TOL038-BLANCO</t>
  </si>
  <si>
    <t>Topo Lujo Trebol Blanco Pequeño</t>
  </si>
  <si>
    <t>TOL038-AZUL</t>
  </si>
  <si>
    <t>Topo Lujo Trebol Azul Pequeño</t>
  </si>
  <si>
    <t>TOL038-RUBI</t>
  </si>
  <si>
    <t>Topo Lujo Trebol Rubi Pequeño</t>
  </si>
  <si>
    <t>TOL039-ROSA</t>
  </si>
  <si>
    <t>TOL039-VERDE</t>
  </si>
  <si>
    <t>TOL039-BLANCO</t>
  </si>
  <si>
    <t>TOL039-AZUL</t>
  </si>
  <si>
    <t>TOL039-RUBI</t>
  </si>
  <si>
    <t>Topo Lujo Trebol Rosado Grande</t>
  </si>
  <si>
    <t>Topo Lujo Trebol Verde Grande</t>
  </si>
  <si>
    <t>Topo Lujo Trebol Blanco Grande</t>
  </si>
  <si>
    <t>Topo Lujo Trebol Azul Grande</t>
  </si>
  <si>
    <t>Topo Lujo Trebol Rubi Grande</t>
  </si>
  <si>
    <t>TOL039-Amatista</t>
  </si>
  <si>
    <t>Topo Lujo Trebol Amatista Grande</t>
  </si>
  <si>
    <t>TOL038-Amatista</t>
  </si>
  <si>
    <t>Topo Lujo Trebol Amatista Pequeño</t>
  </si>
  <si>
    <t>CA60022</t>
  </si>
  <si>
    <t>CMG0004</t>
  </si>
  <si>
    <t>Cadena Gucci Infinito 3mm 60 cm</t>
  </si>
  <si>
    <t>Dije Lujo Tio Rico EXCLUSIVO - AZUL</t>
  </si>
  <si>
    <t>Dije Lujo Tio Rico EXCLUSIVO - VERDE</t>
  </si>
  <si>
    <t>YLO100-23</t>
  </si>
  <si>
    <t>YLO100-22</t>
  </si>
  <si>
    <t>DIL077-AZUL</t>
  </si>
  <si>
    <t>DIL077-VERDE</t>
  </si>
  <si>
    <t>DIL078</t>
  </si>
  <si>
    <t>Dije Lujo Bolsa de Dinero Exclusiva</t>
  </si>
  <si>
    <t>YLO102-61</t>
  </si>
  <si>
    <t>DIL079</t>
  </si>
  <si>
    <t>Dije Lujo Tio Rico Rostro Blanco y Negro</t>
  </si>
  <si>
    <t>YLO102-80</t>
  </si>
  <si>
    <t>DIL080</t>
  </si>
  <si>
    <t>Dije Lujo Bala Circonada Negra</t>
  </si>
  <si>
    <t>YLO102-81</t>
  </si>
  <si>
    <t>YL4002-59</t>
  </si>
  <si>
    <t>YL0102-62</t>
  </si>
  <si>
    <t>DIR045</t>
  </si>
  <si>
    <t>Dije Religioso San Miguel Arcangel Circonado</t>
  </si>
  <si>
    <t>CA50010</t>
  </si>
  <si>
    <t>CA50011</t>
  </si>
  <si>
    <t>Cadena Escalera 2mm 50 cm</t>
  </si>
  <si>
    <t>09070597</t>
  </si>
  <si>
    <t>09070069</t>
  </si>
  <si>
    <t>Cadena Cartier Melcochada 2 mm 50 cm</t>
  </si>
  <si>
    <t>CA60023</t>
  </si>
  <si>
    <t>Cadena Lazo Diamantada 2 mm 60 cm</t>
  </si>
  <si>
    <t>09070282</t>
  </si>
  <si>
    <t>CA60024</t>
  </si>
  <si>
    <t>Cadena Crispeta 45 cm</t>
  </si>
  <si>
    <t>09070094</t>
  </si>
  <si>
    <t xml:space="preserve">Dije Lujo Tio Rico Rostro  </t>
  </si>
  <si>
    <t>DIL081</t>
  </si>
  <si>
    <t>TOL040</t>
  </si>
  <si>
    <t>Topo Lujo Rolex Hexagono</t>
  </si>
  <si>
    <t>TOL041</t>
  </si>
  <si>
    <t>Topo Lujo 3 aros</t>
  </si>
  <si>
    <t xml:space="preserve">Herraje Lujo Seleccion Colombia pasante </t>
  </si>
  <si>
    <t>HEL048</t>
  </si>
  <si>
    <t>HER032</t>
  </si>
  <si>
    <t>Herraje Religioso San Miguel Silueta</t>
  </si>
  <si>
    <t>HEL049</t>
  </si>
  <si>
    <t>Herraje Lujo Osito Liso Grande orejas</t>
  </si>
  <si>
    <t>HEL050</t>
  </si>
  <si>
    <t>Herraje Lujo Ancla lisa silueta</t>
  </si>
  <si>
    <t>HER033</t>
  </si>
  <si>
    <t xml:space="preserve">Herraje Religioso Guadalupe destellos </t>
  </si>
  <si>
    <t>39000</t>
  </si>
  <si>
    <t>Herraje Lujo Rolex sello circones verdes</t>
  </si>
  <si>
    <t>HEL051</t>
  </si>
  <si>
    <t>YL0103-18</t>
  </si>
  <si>
    <t>YL0101-438</t>
  </si>
  <si>
    <t>HEL052</t>
  </si>
  <si>
    <t>Herraje Lujo Placa Cuadrada pequeña</t>
  </si>
  <si>
    <t>YL4002-52</t>
  </si>
  <si>
    <t>YL0402-15</t>
  </si>
  <si>
    <t>YL0402-14</t>
  </si>
  <si>
    <t>YL0401-24</t>
  </si>
  <si>
    <t>Cadena Cubana Corazones 45 cm</t>
  </si>
  <si>
    <t>YL0401-9</t>
  </si>
  <si>
    <t>CA45022</t>
  </si>
  <si>
    <t>Cadena Gucci 45 cm 3mm</t>
  </si>
  <si>
    <t>YL0400-35</t>
  </si>
  <si>
    <t>CA45023</t>
  </si>
  <si>
    <t>CA45024</t>
  </si>
  <si>
    <t>Cadena Militar Diamantada 2mm 60 cm</t>
  </si>
  <si>
    <t>YL0402-27</t>
  </si>
  <si>
    <t>CA60025</t>
  </si>
  <si>
    <t>CA60026</t>
  </si>
  <si>
    <t>Cadena Militar Diamantada 3mm 60 cm</t>
  </si>
  <si>
    <t>YL0402-18</t>
  </si>
  <si>
    <t>YL0403-5</t>
  </si>
  <si>
    <t>CA60027</t>
  </si>
  <si>
    <t>Cadena Militar Diamantada 4mm 60 cm</t>
  </si>
  <si>
    <t>CA60028</t>
  </si>
  <si>
    <t>Cadena Cartier 3mm 60 cm</t>
  </si>
  <si>
    <t>YL0400-24</t>
  </si>
  <si>
    <t>Cadena Cubana 3mm 60 cm</t>
  </si>
  <si>
    <t>CA60029</t>
  </si>
  <si>
    <t>YL0403-6</t>
  </si>
  <si>
    <t>Cadena Cubana Plana 4mm 60 cm</t>
  </si>
  <si>
    <t>YL0400-26</t>
  </si>
  <si>
    <t>CA60030</t>
  </si>
  <si>
    <t>CA50012</t>
  </si>
  <si>
    <t>Cadena Gucci 3mm 50 cm</t>
  </si>
  <si>
    <t>YL0400-16</t>
  </si>
  <si>
    <t>YL4004-7</t>
  </si>
  <si>
    <t>PU18020</t>
  </si>
  <si>
    <t>YL4002-33</t>
  </si>
  <si>
    <t>Pulsera Cubana Plana 4 mm 18 cm</t>
  </si>
  <si>
    <t>YL0403-15</t>
  </si>
  <si>
    <t>PU18021</t>
  </si>
  <si>
    <t>Pulsera China 4mm 18 cm</t>
  </si>
  <si>
    <t>YL0402-19</t>
  </si>
  <si>
    <t>Pulsera Marina 18 cm</t>
  </si>
  <si>
    <t>PU18022</t>
  </si>
  <si>
    <t>Pulsera Militar Diamantada 2mm 18 cm</t>
  </si>
  <si>
    <t>YL0403-22</t>
  </si>
  <si>
    <t>PU18023</t>
  </si>
  <si>
    <t>Pulsera Militar Diamantada 4mm 21 cm</t>
  </si>
  <si>
    <t>YL0400-30</t>
  </si>
  <si>
    <t>PU18024</t>
  </si>
  <si>
    <t>Pulsera Cubana Destellos 15 cm</t>
  </si>
  <si>
    <t>PU15002</t>
  </si>
  <si>
    <t>YL0401-10</t>
  </si>
  <si>
    <t>DIR046</t>
  </si>
  <si>
    <t>Dije Religioso San Benito 10 mm</t>
  </si>
  <si>
    <t>YL0100-42</t>
  </si>
  <si>
    <t>DIR047</t>
  </si>
  <si>
    <t>Dije Religioso Virgen Guadalupe Diamantada Mini</t>
  </si>
  <si>
    <t>YL1002-6</t>
  </si>
  <si>
    <t>Dije Religioso Cruz Sol Pequeña</t>
  </si>
  <si>
    <t>YL1002-26</t>
  </si>
  <si>
    <t>DIR048</t>
  </si>
  <si>
    <t>Dije Religioso Cruz circon verde pequeña</t>
  </si>
  <si>
    <t>YL1002-17</t>
  </si>
  <si>
    <t>DIR049</t>
  </si>
  <si>
    <t>Dije Religioso Virgen Guadalupe Silueta Circones Verdes</t>
  </si>
  <si>
    <t>YL0102-73</t>
  </si>
  <si>
    <t>DIR050</t>
  </si>
  <si>
    <t>Dije Religioso Virgen Guadalupe Silueta Full circones blancos</t>
  </si>
  <si>
    <t>YL0101-418</t>
  </si>
  <si>
    <t>DIR051</t>
  </si>
  <si>
    <t>DIL082</t>
  </si>
  <si>
    <t>Dije Lujo Leon Circonado</t>
  </si>
  <si>
    <t>YL0100-26</t>
  </si>
  <si>
    <t>DIL083</t>
  </si>
  <si>
    <t>Dije Lujo Corazon 15</t>
  </si>
  <si>
    <t>YL1002-19</t>
  </si>
  <si>
    <t>Dije Lujo Trebol Verde Pequeño</t>
  </si>
  <si>
    <t>YL0103-23</t>
  </si>
  <si>
    <t>DIL084</t>
  </si>
  <si>
    <t>DIL085</t>
  </si>
  <si>
    <t>Dije Lujo Circon Cuadrado Verde</t>
  </si>
  <si>
    <t>YL0101-121</t>
  </si>
  <si>
    <t>YL0101-54</t>
  </si>
  <si>
    <t>YL0101-214</t>
  </si>
  <si>
    <t>Tobillera Marina 23 cm</t>
  </si>
  <si>
    <t>YL0400-17</t>
  </si>
  <si>
    <t>TB23002</t>
  </si>
  <si>
    <t>Joyero Rosado</t>
  </si>
  <si>
    <t>IN014-ROSADO</t>
  </si>
  <si>
    <t>CHINA</t>
  </si>
  <si>
    <t>Bolsa de lujo mediana Gris</t>
  </si>
  <si>
    <t>IN015-GRIS</t>
  </si>
  <si>
    <t>IN015-BLANCO</t>
  </si>
  <si>
    <t>Bolsa de lujo mediana Blanco</t>
  </si>
  <si>
    <t>IN016-BLANCO</t>
  </si>
  <si>
    <t>Bolsa de lujo grande Blanco</t>
  </si>
  <si>
    <t>IN017</t>
  </si>
  <si>
    <t>IN018</t>
  </si>
  <si>
    <t>Escapulario cuerito mediano</t>
  </si>
  <si>
    <t>Escapulario cuerito grande</t>
  </si>
  <si>
    <t>IN003-LILA</t>
  </si>
  <si>
    <t>IN006-LILA</t>
  </si>
  <si>
    <t>Insumo Hilo Lila 1mm 70m</t>
  </si>
  <si>
    <t>Insumo Hilo Lila 0.8mm 100m</t>
  </si>
  <si>
    <t>HEL045-E</t>
  </si>
  <si>
    <t>Herrje Lujo Inicial E</t>
  </si>
  <si>
    <t>FABRICA M</t>
  </si>
  <si>
    <t>48887</t>
  </si>
  <si>
    <t>CA60031</t>
  </si>
  <si>
    <t>Cadena Cubana 1mm 60 cm</t>
  </si>
  <si>
    <t>48625</t>
  </si>
  <si>
    <t>CA60032</t>
  </si>
  <si>
    <t>Cadena Cartier circulo 1.5mm 60 cm</t>
  </si>
  <si>
    <t>48316</t>
  </si>
  <si>
    <t>CA60033</t>
  </si>
  <si>
    <t>Cadena Militar 1mm 60 cm</t>
  </si>
  <si>
    <t>48650</t>
  </si>
  <si>
    <t>CA60034</t>
  </si>
  <si>
    <t>Cadena Aros Cruzados Destello 2 mm 60 cm</t>
  </si>
  <si>
    <t>48520</t>
  </si>
  <si>
    <t>CA60035</t>
  </si>
  <si>
    <t>Cadena Militar Barril 1.5mm 60 cm</t>
  </si>
  <si>
    <t>47885</t>
  </si>
  <si>
    <t>DIL046-MULTICOLOR</t>
  </si>
  <si>
    <t>DIL046-VERDE</t>
  </si>
  <si>
    <t>Dije Lujo Corazon pequeño microcircon multicolor</t>
  </si>
  <si>
    <t>Dije Lujo corazon pequeño microcircon verde</t>
  </si>
  <si>
    <t>26224</t>
  </si>
  <si>
    <t>DIL086</t>
  </si>
  <si>
    <t xml:space="preserve">Dije Lujo Corazon Cruzado circones </t>
  </si>
  <si>
    <t>26226</t>
  </si>
  <si>
    <t>DIL087</t>
  </si>
  <si>
    <t>Dije Lujo Mariposa mitad circones</t>
  </si>
  <si>
    <t>26408</t>
  </si>
  <si>
    <t>TOL001</t>
  </si>
  <si>
    <t>TOL002-B</t>
  </si>
  <si>
    <t>TOR001</t>
  </si>
  <si>
    <t>TOR002</t>
  </si>
  <si>
    <t>TOL003</t>
  </si>
  <si>
    <t>TOL002-V</t>
  </si>
  <si>
    <t>TOL004</t>
  </si>
  <si>
    <t>TOR003</t>
  </si>
  <si>
    <t>TOL005</t>
  </si>
  <si>
    <t>TOR004</t>
  </si>
  <si>
    <t>TOR005</t>
  </si>
  <si>
    <t>TOR006</t>
  </si>
  <si>
    <t>TOL002-N</t>
  </si>
  <si>
    <t>TOL006</t>
  </si>
  <si>
    <t>TOL007</t>
  </si>
  <si>
    <t>TOL008</t>
  </si>
  <si>
    <t>TOL009</t>
  </si>
  <si>
    <t>TOL010</t>
  </si>
  <si>
    <t>TOL011</t>
  </si>
  <si>
    <t>TOL012</t>
  </si>
  <si>
    <t>TOL013</t>
  </si>
  <si>
    <t>TOL014</t>
  </si>
  <si>
    <t>TOL002-ROJO</t>
  </si>
  <si>
    <t>TOL002-ROSA</t>
  </si>
  <si>
    <t>TOL002-AZUL</t>
  </si>
  <si>
    <t>Topo Religioso Cruz Sol Mariposa</t>
  </si>
  <si>
    <t>TORM001</t>
  </si>
  <si>
    <t>TOLM001</t>
  </si>
  <si>
    <t>Topo Lujo Corazon Sol Mariposa</t>
  </si>
  <si>
    <t>YL0203-15</t>
  </si>
  <si>
    <t>RG002-51</t>
  </si>
  <si>
    <t>TOLM002</t>
  </si>
  <si>
    <t>Topo Lujo Ala Circonada Mariposa</t>
  </si>
  <si>
    <t>YL0204-30</t>
  </si>
  <si>
    <t>Topo Religioso Milagrosa Mariposa</t>
  </si>
  <si>
    <t>TORM002</t>
  </si>
  <si>
    <t>YL0204-85</t>
  </si>
  <si>
    <t>Topo Religioso Guadalupe Mariposa</t>
  </si>
  <si>
    <t>YL0200-30</t>
  </si>
  <si>
    <t>TORM003</t>
  </si>
  <si>
    <t>Topo Religioso San Miguel Mariposa</t>
  </si>
  <si>
    <t>TORM004</t>
  </si>
  <si>
    <t>YL0200-33</t>
  </si>
  <si>
    <t>Topo Religioso Cruz Verde Mariposa</t>
  </si>
  <si>
    <t>YL0206-13</t>
  </si>
  <si>
    <t>TORM005</t>
  </si>
  <si>
    <t>Varios</t>
  </si>
  <si>
    <t>TOLM003</t>
  </si>
  <si>
    <t>TOLM004</t>
  </si>
  <si>
    <t>Topo Lujo Corazon Circonado Mariposa</t>
  </si>
  <si>
    <t>Topo Lujo Media Bola Diamantada #6 Mariposa</t>
  </si>
  <si>
    <t>YL0206-26</t>
  </si>
  <si>
    <t>TOLM005</t>
  </si>
  <si>
    <t>Topo Lujo Sol #5 Mariposa</t>
  </si>
  <si>
    <t>YL0200-21</t>
  </si>
  <si>
    <t>Topo Lujo Eterno Esmeralda Mariposa</t>
  </si>
  <si>
    <t>TOLM006</t>
  </si>
  <si>
    <t>YL0202-46</t>
  </si>
  <si>
    <t>CANTIDAD</t>
  </si>
  <si>
    <t>PESO</t>
  </si>
  <si>
    <t>18000</t>
  </si>
  <si>
    <t>SUBTOTAL</t>
  </si>
  <si>
    <t>REF</t>
  </si>
  <si>
    <t>Dije Lujo VC Rosa</t>
  </si>
  <si>
    <t>AC036</t>
  </si>
  <si>
    <t xml:space="preserve">Candonga click corazon 18mm </t>
  </si>
  <si>
    <t>9031348</t>
  </si>
  <si>
    <t>AC037</t>
  </si>
  <si>
    <t>Candongas circones cristal 14mm</t>
  </si>
  <si>
    <t>9030938</t>
  </si>
  <si>
    <t>AC038</t>
  </si>
  <si>
    <t>Candongas entrelazadas planas 16x20mm</t>
  </si>
  <si>
    <t>AC039</t>
  </si>
  <si>
    <t>Candongas diamantadas 16x20mm</t>
  </si>
  <si>
    <t>9031296</t>
  </si>
  <si>
    <t>Candongas semi lazo 15mm</t>
  </si>
  <si>
    <t>AC040</t>
  </si>
  <si>
    <t>AC041</t>
  </si>
  <si>
    <t>Candongas semi melcocha 17mm</t>
  </si>
  <si>
    <t>9031028</t>
  </si>
  <si>
    <t>AC042</t>
  </si>
  <si>
    <t>Candongas puente 18mm</t>
  </si>
  <si>
    <t>Candongas entrelazadas 18x21mm</t>
  </si>
  <si>
    <t>AC043</t>
  </si>
  <si>
    <t>9031303</t>
  </si>
  <si>
    <t>AC044</t>
  </si>
  <si>
    <t>Candongas diamantadas 19x23mm</t>
  </si>
  <si>
    <t>9031125</t>
  </si>
  <si>
    <t>AC045</t>
  </si>
  <si>
    <t>Candongas diamantadas 33mm</t>
  </si>
  <si>
    <t>9030685</t>
  </si>
  <si>
    <t>CA60036</t>
  </si>
  <si>
    <t>Cadena Cubana Plana 2mm 60 cm</t>
  </si>
  <si>
    <t>YL0402-42</t>
  </si>
  <si>
    <t>YL0401-33</t>
  </si>
  <si>
    <t>CA45025</t>
  </si>
  <si>
    <t>Cadena Escalera 45 cm</t>
  </si>
  <si>
    <t>YL0404-9</t>
  </si>
  <si>
    <t>YL0401-32</t>
  </si>
  <si>
    <t>PU18025</t>
  </si>
  <si>
    <t>Pulsera Cartier Finita 18 cm</t>
  </si>
  <si>
    <t>YL0403-41</t>
  </si>
  <si>
    <t>PU18026</t>
  </si>
  <si>
    <t>YL0403-38</t>
  </si>
  <si>
    <t>Pulsera Cubana Finita 18 cm</t>
  </si>
  <si>
    <t>Pulsera Escalera Finita 18 cm</t>
  </si>
  <si>
    <t>PU18027</t>
  </si>
  <si>
    <t>PU20012</t>
  </si>
  <si>
    <t>Pulsera Cubana Plana 4mm 20 cm</t>
  </si>
  <si>
    <t>YL0402-34</t>
  </si>
  <si>
    <t>PU21006</t>
  </si>
  <si>
    <t>Pulsera Cubana Diamantada 6 mm</t>
  </si>
  <si>
    <t>YL0402-37</t>
  </si>
  <si>
    <t>PU21007</t>
  </si>
  <si>
    <t>Pulsera Escalera Diamantada 4 mm</t>
  </si>
  <si>
    <t>YL0402-32</t>
  </si>
  <si>
    <t>Pulsera Lazo Diamantada 3mm 19 cm</t>
  </si>
  <si>
    <t>YL0402-52</t>
  </si>
  <si>
    <t>PU19003</t>
  </si>
  <si>
    <t>YL1002-18</t>
  </si>
  <si>
    <t>DIR052</t>
  </si>
  <si>
    <t>RG01-28</t>
  </si>
  <si>
    <t>YL0100-55</t>
  </si>
  <si>
    <t>Dije Religioso Cruz Especial Pequeña</t>
  </si>
  <si>
    <t>DIR053</t>
  </si>
  <si>
    <t>DIR054</t>
  </si>
  <si>
    <t xml:space="preserve">Dije Religioso Cruz Especial Mediana </t>
  </si>
  <si>
    <t>YL0100-53</t>
  </si>
  <si>
    <t>DIR055</t>
  </si>
  <si>
    <t>Dije Religioso Cruz Especial Grande</t>
  </si>
  <si>
    <t>YL0100-51</t>
  </si>
  <si>
    <t>Dije Lujo Letra A pequeña Blanca</t>
  </si>
  <si>
    <t>YL0101-262</t>
  </si>
  <si>
    <t>DIL058-A</t>
  </si>
  <si>
    <t>DIL058-C</t>
  </si>
  <si>
    <t>Dije Lujo Letra C pequeña Blanca</t>
  </si>
  <si>
    <t>Dije Lujo Letra J pequeña Blanca</t>
  </si>
  <si>
    <t>DIL058-J</t>
  </si>
  <si>
    <t>DIL058-M</t>
  </si>
  <si>
    <t>Dije Lujo Letra M pequeña Blanca</t>
  </si>
  <si>
    <t>DIL058-N</t>
  </si>
  <si>
    <t>Dije Lujo Letra N pequeña Blanca</t>
  </si>
  <si>
    <t>DIL058-V</t>
  </si>
  <si>
    <t>Dije Lujo Letra V pequeña Blanca</t>
  </si>
  <si>
    <t>Dije Lujo Letra A pequeña Verde</t>
  </si>
  <si>
    <t>DIL059-A</t>
  </si>
  <si>
    <t>DIL059-B</t>
  </si>
  <si>
    <t>Dije Lujo Letra B pequeña Verde</t>
  </si>
  <si>
    <t>DIL059-M</t>
  </si>
  <si>
    <t>Dije Lujo Letra M pequeña Verde</t>
  </si>
  <si>
    <t>Dije Lujo Letra N pequeña Verde</t>
  </si>
  <si>
    <t>DIL059-N</t>
  </si>
  <si>
    <t>DIL059-V</t>
  </si>
  <si>
    <t>Dije Lujo Letra V pequeña Verde</t>
  </si>
  <si>
    <t>HEL053-VERDE</t>
  </si>
  <si>
    <t>Herraje Lujo VC verde Ceramica grande</t>
  </si>
  <si>
    <t>YL0102-2</t>
  </si>
  <si>
    <t>Herraje Lujo Rolex Sello Pequeño</t>
  </si>
  <si>
    <t>HEL054</t>
  </si>
  <si>
    <t>Herraje Lujo Billete Mediano</t>
  </si>
  <si>
    <t>HEL055</t>
  </si>
  <si>
    <t>Herraje Religioso Cruz Madero Orejas</t>
  </si>
  <si>
    <t>HER034</t>
  </si>
  <si>
    <t>AC046</t>
  </si>
  <si>
    <t>Candongas Hilo 25 mm</t>
  </si>
  <si>
    <t>YL0201-123</t>
  </si>
  <si>
    <t>AC047</t>
  </si>
  <si>
    <t xml:space="preserve">Candongas Cuadradas Circon Blanco </t>
  </si>
  <si>
    <t>YL0203-184</t>
  </si>
  <si>
    <t>TORM006</t>
  </si>
  <si>
    <t>Topo Religioso Cruz Sol Grande Mariposa</t>
  </si>
  <si>
    <t>YL0204-237</t>
  </si>
  <si>
    <t>TORM007</t>
  </si>
  <si>
    <t>RG002-61</t>
  </si>
  <si>
    <t>TOLM007</t>
  </si>
  <si>
    <t>Topo Lujo Corazon Circonado Verde Mariposa</t>
  </si>
  <si>
    <t>YL0206-24</t>
  </si>
  <si>
    <t>TOLM008</t>
  </si>
  <si>
    <t>Topo Lujo Chispa 5 mm Cristal Mariposa</t>
  </si>
  <si>
    <t>YL0202-91</t>
  </si>
  <si>
    <t>Topo lujo Corazon Gota Verde Mariposa</t>
  </si>
  <si>
    <t>TOLM009</t>
  </si>
  <si>
    <t>YL0204-41</t>
  </si>
  <si>
    <t>TOLM010</t>
  </si>
  <si>
    <t>YL0203-79</t>
  </si>
  <si>
    <t>TOLM011</t>
  </si>
  <si>
    <t>Topo Lujo Balin #3 Mariposa</t>
  </si>
  <si>
    <t>YL0204-158</t>
  </si>
  <si>
    <t>Topo Lujo Balin #8 Mariposa</t>
  </si>
  <si>
    <t>TOLM012</t>
  </si>
  <si>
    <t>YL0203-7</t>
  </si>
  <si>
    <t>HEL056</t>
  </si>
  <si>
    <t>Herraje Lujo Ganadero</t>
  </si>
  <si>
    <t xml:space="preserve">Topo Religioso Cruz Circon Esmeralda 6 </t>
  </si>
  <si>
    <t>P. GRAN MAYOR (30)</t>
  </si>
  <si>
    <t>P POR MAYOR (20)</t>
  </si>
  <si>
    <t>P. DETAL (30)</t>
  </si>
  <si>
    <t>P GRAN MAYOR (30)</t>
  </si>
  <si>
    <t>P DETAL 30</t>
  </si>
  <si>
    <t>P GRAN MAYOR</t>
  </si>
  <si>
    <t>P DETAL</t>
  </si>
  <si>
    <t>PRECIO DETAL</t>
  </si>
  <si>
    <t>Topo Lujo Rolex Redondo Mariposa</t>
  </si>
  <si>
    <t>Dije Religioso Cruz Verde 6 Pequeña</t>
  </si>
  <si>
    <t>YL0403-42</t>
  </si>
  <si>
    <t>DIR056</t>
  </si>
  <si>
    <t>Dije Religioso San Miguel medalla Pequeña</t>
  </si>
  <si>
    <t>YL0100-58</t>
  </si>
  <si>
    <t>YL0101-95</t>
  </si>
  <si>
    <t>Dije Lujo Gota Verde</t>
  </si>
  <si>
    <t>DIL060-VERDE</t>
  </si>
  <si>
    <t>YL0101-413</t>
  </si>
  <si>
    <t>Dije Religioso Virgen Guadalupe Medalla Pequeña Lisa</t>
  </si>
  <si>
    <t>DIR057</t>
  </si>
  <si>
    <t>HEL057-VERDE</t>
  </si>
  <si>
    <t>Herraje Lujo Tio Rico Imperial Verde</t>
  </si>
  <si>
    <t>20049-V</t>
  </si>
  <si>
    <t>HEL057-NEGRO</t>
  </si>
  <si>
    <t>Herraje Lujo Tio Rico Imperial Negro</t>
  </si>
  <si>
    <t>20049-N</t>
  </si>
  <si>
    <t>HEL057-BLANCO</t>
  </si>
  <si>
    <t>Herraje Lujo Tio Rico Imperial Blanco</t>
  </si>
  <si>
    <t>20049-B</t>
  </si>
  <si>
    <t>HEL058-BLANCO</t>
  </si>
  <si>
    <t>Herraje Lujo Rolex Sello Circones blancos 2</t>
  </si>
  <si>
    <t>HEL059</t>
  </si>
  <si>
    <t>Herraje Lujo Rolex Medalla Redonda Grande</t>
  </si>
  <si>
    <t>TOL042</t>
  </si>
  <si>
    <t xml:space="preserve">Topo Lujo Balin #6 Diamantado </t>
  </si>
  <si>
    <t>HER035</t>
  </si>
  <si>
    <t>Herraje Religioso San Miguel Mini Orejas</t>
  </si>
  <si>
    <t>FABRICA NEI</t>
  </si>
  <si>
    <t>10260</t>
  </si>
  <si>
    <t>16720</t>
  </si>
  <si>
    <t>46033</t>
  </si>
  <si>
    <t>Cadena Crispeta 1.5mm 45cm</t>
  </si>
  <si>
    <t>CA45026</t>
  </si>
  <si>
    <t>46772</t>
  </si>
  <si>
    <t>20580</t>
  </si>
  <si>
    <t>17220</t>
  </si>
  <si>
    <t>16380</t>
  </si>
  <si>
    <t>18900</t>
  </si>
  <si>
    <t>31500</t>
  </si>
  <si>
    <t>26600</t>
  </si>
  <si>
    <t>Dije Lujo Tio Rico Eterno Negro</t>
  </si>
  <si>
    <t>DIL061-NEGRO</t>
  </si>
  <si>
    <t>Dije Lujo Tio Rico Eterno Verde</t>
  </si>
  <si>
    <t>DIL061-VERDE</t>
  </si>
  <si>
    <t>Dije Lujo Tio Rico Eterno Rojo Azul</t>
  </si>
  <si>
    <t>DIL061-ROJOAZUL</t>
  </si>
  <si>
    <t>Dije Lujo Tio Rico Eterno Amarillo</t>
  </si>
  <si>
    <t>DIL061-AMARILLO</t>
  </si>
  <si>
    <t>Dije Lujo Tio Rico Eterno Celeste</t>
  </si>
  <si>
    <t>DIL061-CELESTE</t>
  </si>
  <si>
    <t>Dije Lujo Tio Rico Fuck You Verde</t>
  </si>
  <si>
    <t>9131354</t>
  </si>
  <si>
    <t>DIL062-VERDE</t>
  </si>
  <si>
    <t>DIL029-AZUL</t>
  </si>
  <si>
    <t>Dije Lujo Tio Rico circones Azul</t>
  </si>
  <si>
    <t>DIL029-VERDE</t>
  </si>
  <si>
    <t>Dije Lujo Tio Rico circones Verde</t>
  </si>
  <si>
    <t>Dije Religioso San Judas circon 9x32mm</t>
  </si>
  <si>
    <t>DIR058</t>
  </si>
  <si>
    <t>Dije Religioso San Miguel Arcangel Escudo Grande</t>
  </si>
  <si>
    <t>9131350</t>
  </si>
  <si>
    <t>DIR059</t>
  </si>
  <si>
    <t>Herraje Lujo Tio Rico Circones Verde</t>
  </si>
  <si>
    <t>HEL060</t>
  </si>
  <si>
    <t>Herraje Religioso San Miguel Arcangel Escudo 4 Ojos</t>
  </si>
  <si>
    <t>HER036</t>
  </si>
  <si>
    <t xml:space="preserve">Topo Lujo Trebol Negro 7mm Mariposa </t>
  </si>
  <si>
    <t>9021302</t>
  </si>
  <si>
    <t>TOLM013-NEGRO</t>
  </si>
  <si>
    <t>TOLM013-VERDE</t>
  </si>
  <si>
    <t xml:space="preserve">Topo Lujo Trebol Verde 7mm Mariposa </t>
  </si>
  <si>
    <t>TOLM013-ROSA</t>
  </si>
  <si>
    <t xml:space="preserve">Topo Lujo Trebol Rosa 7mm Mariposa </t>
  </si>
  <si>
    <t>Candonga entorchada delgada 20mm</t>
  </si>
  <si>
    <t>9030488</t>
  </si>
  <si>
    <t>AC048</t>
  </si>
  <si>
    <t>YL4002-67</t>
  </si>
  <si>
    <t>Herraje Religioso Guadalupe Circonada 21.5mm x 20mm</t>
  </si>
  <si>
    <t>HER037</t>
  </si>
  <si>
    <t>HER038</t>
  </si>
  <si>
    <t>O25126Y</t>
  </si>
  <si>
    <t>Y25910</t>
  </si>
  <si>
    <t>HERRAJE RELIGIOSO GUADALUPE OVALADA
DIAMANTADA 8mm X 6mm</t>
  </si>
  <si>
    <t>HERRAJE RELIGIOSO SAN BENITO 8.5mm X 8.5mm</t>
  </si>
  <si>
    <t>O25124Y</t>
  </si>
  <si>
    <t>HER039</t>
  </si>
  <si>
    <t>O25008Y</t>
  </si>
  <si>
    <t>HEL061</t>
  </si>
  <si>
    <t>HERRAJE LUJO BOLSA DE DINERO 12.5mm X
6.5mm</t>
  </si>
  <si>
    <t>HERRAJE RELIGIOSO SAN BENITO 11mm X 11mm</t>
  </si>
  <si>
    <t>HEL062</t>
  </si>
  <si>
    <t>O25128Y</t>
  </si>
  <si>
    <t>HER040</t>
  </si>
  <si>
    <t xml:space="preserve"> O25127Y</t>
  </si>
  <si>
    <t>HERRAJE RELIGIOSO GUADALUPE OVALADA DIAMANTADA 10mm X 7.5mm</t>
  </si>
  <si>
    <t>HER041</t>
  </si>
  <si>
    <t>O25125Y</t>
  </si>
  <si>
    <t>HERRAJE LUJO VAN CLEEF DORADO DESTELLO
7mm X 7mm</t>
  </si>
  <si>
    <t>HEL063</t>
  </si>
  <si>
    <t>O25130Y</t>
  </si>
  <si>
    <t>O25123Y</t>
  </si>
  <si>
    <t>HEL064</t>
  </si>
  <si>
    <t>HEL065</t>
  </si>
  <si>
    <t>O25129Y</t>
  </si>
  <si>
    <t>CADENA MILITAR DIAMANTADA 5MM 60CM</t>
  </si>
  <si>
    <t>CA60037</t>
  </si>
  <si>
    <t>48555</t>
  </si>
  <si>
    <t>CADENA GUCCI PLANA 3mm 60cm</t>
  </si>
  <si>
    <t>CA60038</t>
  </si>
  <si>
    <t>48717</t>
  </si>
  <si>
    <t>CADENA TEJIDO CHINO DOBLE CARRIL 5.5MM 60CM</t>
  </si>
  <si>
    <t>CA600039</t>
  </si>
  <si>
    <t>48232</t>
  </si>
  <si>
    <t>CA600040</t>
  </si>
  <si>
    <t>CADENA MILITAR DIAMANTADA 4MM 60CM</t>
  </si>
  <si>
    <t>48554</t>
  </si>
  <si>
    <t>DIJE LUJO TIO RICO AZUL ROJO 22mm x 17mm</t>
  </si>
  <si>
    <t>Y27113</t>
  </si>
  <si>
    <t>DIL063-AZULROJO</t>
  </si>
  <si>
    <t>TOPO LUJO ESMERALDA CHISPA 2mm MARIPOSA</t>
  </si>
  <si>
    <t>O34105Y</t>
  </si>
  <si>
    <t>TOLM014</t>
  </si>
  <si>
    <t>O34641Y</t>
  </si>
  <si>
    <t>TOLM015</t>
  </si>
  <si>
    <t>TOPO LUJO ESMERALDA CUADRADO 4mm x 4mm MARIPOSA</t>
  </si>
  <si>
    <t>TOPO LUJO ESMERALDA CORAZON 6mm x 6mm</t>
  </si>
  <si>
    <t>O34640Y</t>
  </si>
  <si>
    <t>TOLM016</t>
  </si>
  <si>
    <t>TOLM017</t>
  </si>
  <si>
    <t>TOPO LUJO DIAMANTE CUADRADO 6mm x 6mm</t>
  </si>
  <si>
    <t>O34650Y</t>
  </si>
  <si>
    <t>TOPO LUJO GRANO DE CAFÉ</t>
  </si>
  <si>
    <t>34114</t>
  </si>
  <si>
    <t>TOLM018</t>
  </si>
  <si>
    <t>HERRAJE LUJO VAN CLEEF NEGRO MINI 6mm X 5mm</t>
  </si>
  <si>
    <t>O25132Y</t>
  </si>
  <si>
    <t>HEL066</t>
  </si>
  <si>
    <t>HEL067</t>
  </si>
  <si>
    <t>O25133Y</t>
  </si>
  <si>
    <t>HER042</t>
  </si>
  <si>
    <t>O25131Y</t>
  </si>
  <si>
    <t>HERRAJE LUJO CABALLO HERRADURA 13mm X
12mm</t>
  </si>
  <si>
    <t>DIJE RELIGIOSO CRUCIFIJO 18mm x 33mm</t>
  </si>
  <si>
    <t>27109</t>
  </si>
  <si>
    <t>DIR060</t>
  </si>
  <si>
    <t>Barril Diamantado #4</t>
  </si>
  <si>
    <t>BRB4</t>
  </si>
  <si>
    <t>BDI03</t>
  </si>
  <si>
    <t>HERRAJE LUJO VAN CLEEF NEGRO MEDIANO
8mm X 8mm</t>
  </si>
  <si>
    <t>HERRAJE RELIGIOSO MILAGROSA 8mm X 6mm</t>
  </si>
  <si>
    <t>HERRAJE LUJO VAN CLEEF DORADO DESTELLO 11mm X 11mm</t>
  </si>
  <si>
    <t>HERRAJE LUJO INFINITO 11.5mm X 4mm</t>
  </si>
  <si>
    <t>Herraje Lujo Barcelona Pasante</t>
  </si>
  <si>
    <t>JEF</t>
  </si>
  <si>
    <t>HEL068</t>
  </si>
  <si>
    <t>HEL069</t>
  </si>
  <si>
    <t>Herraje Lujo Real Madrid Pasante</t>
  </si>
  <si>
    <t>IN003-ROJO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</si>
</sst>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2"/>
      <color theme="0"/>
      <name val="Aptos Narrow"/>
      <family val="2"/>
      <scheme val="minor"/>
    </font>
    <font>
      <sz val="12"/>
      <color rgb="FF000000"/>
      <name val="Verdana"/>
      <family val="2"/>
    </font>
    <font>
      <sz val="12"/>
      <color theme="1"/>
      <name val="CCode39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/>
      <top style="thin">
        <color rgb="FF44B3E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44B3E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3">
    <xf numFmtId="0" fontId="0" fillId="0" borderId="0" xfId="0"/>
    <xf numFmtId="49" fontId="2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49" fontId="2" fillId="0" borderId="3" xfId="0" applyNumberFormat="1" applyFont="1" applyBorder="1" applyAlignment="1">
      <alignment vertical="center" wrapText="1"/>
    </xf>
    <xf numFmtId="49" fontId="2" fillId="0" borderId="4" xfId="0" applyNumberFormat="1" applyFont="1" applyBorder="1" applyAlignment="1">
      <alignment vertical="center" wrapText="1"/>
    </xf>
    <xf numFmtId="42" fontId="0" fillId="0" borderId="0" xfId="1" applyFont="1"/>
    <xf numFmtId="0" fontId="4" fillId="0" borderId="0" xfId="0" applyFont="1"/>
    <xf numFmtId="0" fontId="5" fillId="0" borderId="0" xfId="0" applyFont="1"/>
    <xf numFmtId="1" fontId="0" fillId="0" borderId="0" xfId="0" applyNumberFormat="1"/>
    <xf numFmtId="2" fontId="0" fillId="0" borderId="0" xfId="0" applyNumberFormat="1"/>
    <xf numFmtId="49" fontId="2" fillId="3" borderId="5" xfId="0" applyNumberFormat="1" applyFont="1" applyFill="1" applyBorder="1" applyAlignment="1">
      <alignment vertical="center" wrapText="1"/>
    </xf>
    <xf numFmtId="49" fontId="2" fillId="0" borderId="5" xfId="0" applyNumberFormat="1" applyFont="1" applyBorder="1" applyAlignment="1">
      <alignment vertical="center" wrapText="1"/>
    </xf>
    <xf numFmtId="49" fontId="2" fillId="3" borderId="6" xfId="0" applyNumberFormat="1" applyFont="1" applyFill="1" applyBorder="1" applyAlignment="1">
      <alignment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3" borderId="7" xfId="0" applyNumberFormat="1" applyFont="1" applyFill="1" applyBorder="1" applyAlignment="1">
      <alignment vertical="center" wrapText="1"/>
    </xf>
    <xf numFmtId="0" fontId="6" fillId="0" borderId="4" xfId="0" applyFont="1" applyBorder="1"/>
    <xf numFmtId="49" fontId="6" fillId="0" borderId="4" xfId="0" applyNumberFormat="1" applyFont="1" applyBorder="1" applyAlignment="1">
      <alignment vertical="center" wrapText="1"/>
    </xf>
    <xf numFmtId="9" fontId="0" fillId="0" borderId="0" xfId="0" applyNumberFormat="1"/>
    <xf numFmtId="4" fontId="2" fillId="0" borderId="0" xfId="0" applyNumberFormat="1" applyFont="1"/>
    <xf numFmtId="42" fontId="0" fillId="0" borderId="0" xfId="1" applyFont="1" applyAlignment="1">
      <alignment vertical="center" wrapText="1"/>
    </xf>
  </cellXfs>
  <cellStyles count="2">
    <cellStyle name="Moneda [0]" xfId="1" builtinId="7"/>
    <cellStyle name="Normal" xfId="0" builtinId="0"/>
  </cellStyles>
  <dxfs count="45">
    <dxf>
      <numFmt numFmtId="4" formatCode="#,##0.00"/>
    </dxf>
    <dxf>
      <numFmt numFmtId="4" formatCode="#,##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4" formatCode="#,##0.00"/>
    </dxf>
    <dxf>
      <numFmt numFmtId="4" formatCode="#,##0.00"/>
    </dxf>
    <dxf>
      <numFmt numFmtId="0" formatCode="General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numFmt numFmtId="4" formatCode="#,##0.00"/>
    </dxf>
    <dxf>
      <numFmt numFmtId="4" formatCode="#,##0.00"/>
    </dxf>
    <dxf>
      <numFmt numFmtId="0" formatCode="General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numFmt numFmtId="4" formatCode="#,##0.00"/>
    </dxf>
    <dxf>
      <numFmt numFmtId="4" formatCode="#,##0.00"/>
    </dxf>
    <dxf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numFmt numFmtId="4" formatCode="#,##0.00"/>
    </dxf>
    <dxf>
      <numFmt numFmtId="4" formatCode="#,##0.00"/>
    </dxf>
    <dxf>
      <numFmt numFmtId="0" formatCode="General"/>
    </dxf>
    <dxf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4" formatCode="#,##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BE9BA-10EA-9242-864A-C396D68192B1}" name="Tabla1" displayName="Tabla1" ref="D5:K160" totalsRowShown="0">
  <autoFilter ref="D5:K160" xr:uid="{2EABE9BA-10EA-9242-864A-C396D68192B1}"/>
  <tableColumns count="8">
    <tableColumn id="1" xr3:uid="{A3E8977C-6BC5-834A-A77B-C3C9ABFDD813}" name="REF INTERNA" dataDxfId="44"/>
    <tableColumn id="2" xr3:uid="{C5100F90-B0B2-5446-A07F-F54A094D9E14}" name="NOMBRE" dataDxfId="43"/>
    <tableColumn id="3" xr3:uid="{D5565746-1240-4347-A911-66A6BAE79B56}" name="PROVEEDOR"/>
    <tableColumn id="4" xr3:uid="{0510E6CA-2CCA-AF41-AFA3-6C7E410DA486}" name="REFERENCIA" dataDxfId="42"/>
    <tableColumn id="5" xr3:uid="{D8DA43C3-B6BE-8F44-B6CA-F5CA70B4A783}" name="COSTO"/>
    <tableColumn id="8" xr3:uid="{BFE6651E-2590-FE49-9842-8C2884261322}" name="P GRAN MAYOR" dataDxfId="41">
      <calculatedColumnFormula>ROUND(Tabla1[[#This Row],[COSTO]]/0.7,0)</calculatedColumnFormula>
    </tableColumn>
    <tableColumn id="6" xr3:uid="{CFA4399F-B851-1F43-8E72-DB90E6779CF1}" name="P POR MAYOR" dataDxfId="40">
      <calculatedColumnFormula>ROUND(Tabla1[[#This Row],[P GRAN MAYOR]]/0.8,0)</calculatedColumnFormula>
    </tableColumn>
    <tableColumn id="9" xr3:uid="{15FC9E91-5D2E-C041-9357-4C54B19E3F75}" name="PRECIO DETAL" dataDxfId="39">
      <calculatedColumnFormula>ROUND(Tabla1[[#This Row],[P POR MAYOR]]/(1-0.375),0)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2400ADF-5967-E941-A11F-C7BE25F0AFE2}" name="Tabla13" displayName="Tabla13" ref="O5:P84" totalsRowShown="0">
  <autoFilter ref="O5:P84" xr:uid="{72400ADF-5967-E941-A11F-C7BE25F0AFE2}"/>
  <tableColumns count="2">
    <tableColumn id="1" xr3:uid="{85A9B082-5259-D742-9C32-ED2787534FC3}" name="REF"/>
    <tableColumn id="2" xr3:uid="{21B4B483-2917-804F-81E1-FA940C08F6B8}" name="CANTIDAD" dataDxf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AC042C-DFFF-0C41-A521-507EBF6DAE67}" name="Tabla2" displayName="Tabla2" ref="D5:K127" totalsRowShown="0">
  <autoFilter ref="D5:K127" xr:uid="{A5AC042C-DFFF-0C41-A521-507EBF6DAE67}"/>
  <tableColumns count="8">
    <tableColumn id="1" xr3:uid="{524CD696-0B82-DD40-B10C-EADC0587D018}" name="REF INTERNA" dataDxfId="37"/>
    <tableColumn id="2" xr3:uid="{14CCB92C-AB58-8E42-AF89-FBFE0AC86C84}" name="NOMBRE" dataDxfId="36"/>
    <tableColumn id="3" xr3:uid="{D4D3DE8F-1957-BD48-9FE6-A0ABE7B1DDD6}" name="PROVEEDOR"/>
    <tableColumn id="4" xr3:uid="{74D002EB-3E7F-274F-B95E-832F3C923781}" name="REFERENCIA"/>
    <tableColumn id="5" xr3:uid="{6E0C9E87-17D3-7F4C-9C47-8D6F8C5F4614}" name="COSTO"/>
    <tableColumn id="6" xr3:uid="{C41242B1-5EF4-BF45-A24D-FAA880A7BD81}" name="P GRAN MAYOR (30)" dataDxfId="35">
      <calculatedColumnFormula>ROUND(Tabla2[[#This Row],[COSTO]]/0.7,0)</calculatedColumnFormula>
    </tableColumn>
    <tableColumn id="7" xr3:uid="{C010B60D-FD01-1747-AE41-5E0150ED957A}" name="P POR MAYOR (20)" dataDxfId="34">
      <calculatedColumnFormula>ROUND(Tabla2[[#This Row],[P GRAN MAYOR (30)]]/0.8,0)</calculatedColumnFormula>
    </tableColumn>
    <tableColumn id="8" xr3:uid="{5A5F6361-0A5A-624D-8EE6-43125C7AC824}" name="P DETAL 30" dataCellStyle="Moneda [0]">
      <calculatedColumnFormula>ROUND(Tabla2[[#This Row],[P POR MAYOR (20)]]/(1-0.375),0)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C5FB25-2BD9-B344-AEDF-8F357D2DD141}" name="Tabla3" displayName="Tabla3" ref="D5:K28" totalsRowShown="0">
  <autoFilter ref="D5:K28" xr:uid="{F1C5FB25-2BD9-B344-AEDF-8F357D2DD141}"/>
  <tableColumns count="8">
    <tableColumn id="1" xr3:uid="{45775E42-7F70-2E41-896D-7DB4E58B4A13}" name="REF INTERNA" dataDxfId="33"/>
    <tableColumn id="2" xr3:uid="{AC74BFA2-4D9D-5E44-AB80-AFAB268EB589}" name="NOMBRE" dataDxfId="32"/>
    <tableColumn id="3" xr3:uid="{44E0FBD0-F71D-094A-B935-7A7940FFBE91}" name="PROVEEDOR"/>
    <tableColumn id="4" xr3:uid="{581C4F63-65C8-3145-B0A0-EE835A66641E}" name="REFERENCIA" dataDxfId="31"/>
    <tableColumn id="5" xr3:uid="{DEDB3BFD-8016-6F42-B416-7A1767B85A56}" name="COSTO"/>
    <tableColumn id="8" xr3:uid="{9826BCC2-CEC8-D244-A1F7-E77CEDE02BC5}" name="P GRAN MAYOR" dataDxfId="30">
      <calculatedColumnFormula>ROUND(Tabla3[[#This Row],[COSTO]]/0.7,0)</calculatedColumnFormula>
    </tableColumn>
    <tableColumn id="6" xr3:uid="{3EF0F9A8-2003-494F-932E-F0E24A2E3618}" name="P POR MAYOR" dataDxfId="29">
      <calculatedColumnFormula>ROUND(Tabla3[[#This Row],[P GRAN MAYOR]]/0.8,0)</calculatedColumnFormula>
    </tableColumn>
    <tableColumn id="9" xr3:uid="{BBA10931-3D2B-6E4E-A63C-407EE4048256}" name="P DETAL" dataDxfId="28">
      <calculatedColumnFormula>ROUND(Tabla3[[#This Row],[P POR MAYOR]]/(1-0.375),0)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4DD5F4-026D-1941-81A6-7756E7FF44A1}" name="Tabla4" displayName="Tabla4" ref="D5:K173" totalsRowShown="0">
  <autoFilter ref="D5:K173" xr:uid="{384DD5F4-026D-1941-81A6-7756E7FF44A1}"/>
  <tableColumns count="8">
    <tableColumn id="1" xr3:uid="{74EDD3BD-A3FD-084C-A92F-77CF10C90CEB}" name="REF INTERNA" dataDxfId="27"/>
    <tableColumn id="2" xr3:uid="{B8CCF355-5D0B-454F-BB6F-E7AC14F6A152}" name="NOMBRE" dataDxfId="26"/>
    <tableColumn id="3" xr3:uid="{97AF2015-6B85-E640-A816-598315566BD5}" name="PROVEEDOR"/>
    <tableColumn id="4" xr3:uid="{C206328B-0A4F-FB45-9B00-932961BBAD90}" name="REFERENCIA" dataDxfId="25"/>
    <tableColumn id="5" xr3:uid="{77F7FAF5-F92F-0448-B109-E9517F9A986C}" name="COSTO"/>
    <tableColumn id="8" xr3:uid="{8B69C43C-0AE3-1144-AC4E-000CD0050B8A}" name="P GRAN MAYOR" dataCellStyle="Moneda [0]">
      <calculatedColumnFormula>ROUND(Tabla4[[#This Row],[COSTO]]/0.7,0)</calculatedColumnFormula>
    </tableColumn>
    <tableColumn id="6" xr3:uid="{8BD36BF5-EC61-1646-94D6-1564D3C8DEC9}" name="P POR MAYOR" dataDxfId="24">
      <calculatedColumnFormula>ROUND(Tabla4[[#This Row],[P GRAN MAYOR]]/0.8,0)</calculatedColumnFormula>
    </tableColumn>
    <tableColumn id="9" xr3:uid="{EC0B3EF7-4A14-654E-8679-A2D491187EAA}" name="P DETAL" dataDxfId="23">
      <calculatedColumnFormula>ROUND(Tabla4[[#This Row],[P POR MAYOR]]/(1-0.375),0)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AAF409-522D-A648-8647-22DCA6B80219}" name="Tabla7" displayName="Tabla7" ref="D5:K87" totalsRowShown="0">
  <autoFilter ref="D5:K87" xr:uid="{75AAF409-522D-A648-8647-22DCA6B80219}"/>
  <sortState xmlns:xlrd2="http://schemas.microsoft.com/office/spreadsheetml/2017/richdata2" ref="D6:K80">
    <sortCondition ref="H5:H80"/>
  </sortState>
  <tableColumns count="8">
    <tableColumn id="1" xr3:uid="{C8B99755-1464-5C47-98EC-D6D535261C03}" name="REF INTERNA" dataDxfId="22"/>
    <tableColumn id="2" xr3:uid="{0948A61D-7637-B547-93F5-EEC4429EAC0E}" name="NOMBRE" dataDxfId="21"/>
    <tableColumn id="3" xr3:uid="{38586DAB-20F8-E546-9797-9FBFCF226946}" name="PROVEEDOR"/>
    <tableColumn id="4" xr3:uid="{8654E6A4-FC2B-0A47-BFCF-7F20DC37FEF6}" name="REFERENCIA" dataDxfId="20"/>
    <tableColumn id="5" xr3:uid="{4C258D8D-D0B4-AD46-BCB6-CA0AAA0A3812}" name="COSTO" dataCellStyle="Moneda [0]"/>
    <tableColumn id="8" xr3:uid="{EE66E7F5-5FF9-384E-9781-AEBB606B422F}" name="P. GRAN MAYOR (30)" dataCellStyle="Moneda [0]">
      <calculatedColumnFormula>ROUND(Tabla7[[#This Row],[COSTO]]/0.7,0)</calculatedColumnFormula>
    </tableColumn>
    <tableColumn id="6" xr3:uid="{3D0A41A3-2A3A-1249-B165-26533277406A}" name="P POR MAYOR (20)" dataCellStyle="Moneda [0]">
      <calculatedColumnFormula>ROUND(Tabla7[[#This Row],[P. GRAN MAYOR (30)]]/0.8,0)</calculatedColumnFormula>
    </tableColumn>
    <tableColumn id="9" xr3:uid="{B2F20A21-FB74-A044-938F-B33DB6705B77}" name="P. DETAL (30)" dataCellStyle="Moneda [0]">
      <calculatedColumnFormula>ROUND(Tabla7[[#This Row],[P POR MAYOR (20)]]/(1-0.375),0)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50142F-8051-724D-9BEB-E34C2F9F5017}" name="Tabla6" displayName="Tabla6" ref="D5:K62" totalsRowShown="0">
  <autoFilter ref="D5:K62" xr:uid="{C150142F-8051-724D-9BEB-E34C2F9F5017}"/>
  <tableColumns count="8">
    <tableColumn id="1" xr3:uid="{D1AE833C-9783-7745-8D65-BC245B4203B1}" name="REF INTERNA" dataDxfId="19"/>
    <tableColumn id="2" xr3:uid="{66EF227B-1FAA-3247-AC07-9B525C2A27C6}" name="NOMBRE" dataDxfId="18"/>
    <tableColumn id="3" xr3:uid="{47B528CE-0CE7-D24F-9582-68482825983C}" name="PROVEEDOR"/>
    <tableColumn id="4" xr3:uid="{F5377196-4009-5A47-963E-D5890FDACB62}" name="REFERENCIA" dataDxfId="17"/>
    <tableColumn id="5" xr3:uid="{DF64788F-085A-D24E-B500-A05CD3052E9C}" name="COSTO"/>
    <tableColumn id="8" xr3:uid="{D3063F6E-9E2A-DA44-AF9A-7659D570E75A}" name="P GRAN MAYOR" dataDxfId="16">
      <calculatedColumnFormula>ROUND(Tabla6[[#This Row],[COSTO]]/0.7,0)</calculatedColumnFormula>
    </tableColumn>
    <tableColumn id="6" xr3:uid="{5A4ED604-6D43-3445-8E7C-8E57A1CBD702}" name="P POR MAYOR" dataDxfId="15">
      <calculatedColumnFormula>ROUND(Tabla6[[#This Row],[P GRAN MAYOR]]/0.8,0)</calculatedColumnFormula>
    </tableColumn>
    <tableColumn id="9" xr3:uid="{D01F722A-FBFA-9A4A-B0C9-71FA64B968BC}" name="P DETAL" dataDxfId="14">
      <calculatedColumnFormula>ROUND(Tabla6[[#This Row],[P POR MAYOR]]/(1-0.375),0)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10BA00-2919-6946-B9CC-883E39ADD8C8}" name="Tabla5" displayName="Tabla5" ref="D5:K25" totalsRowShown="0">
  <autoFilter ref="D5:K25" xr:uid="{3B10BA00-2919-6946-B9CC-883E39ADD8C8}"/>
  <tableColumns count="8">
    <tableColumn id="1" xr3:uid="{1AF89332-4EC9-884F-A122-53F24EA92D58}" name="REF INTERNA" dataDxfId="13"/>
    <tableColumn id="2" xr3:uid="{5FA15662-B541-4846-86BE-F13F4D450A40}" name="NOMBRE" dataDxfId="12"/>
    <tableColumn id="3" xr3:uid="{EF00EA6E-5E2C-4642-B520-DB6BDD292964}" name="PROVEEDOR"/>
    <tableColumn id="4" xr3:uid="{78D1C182-2D7F-DB4E-B8A9-41E7CFDC9DDD}" name="REFERENCIA" dataDxfId="11"/>
    <tableColumn id="5" xr3:uid="{80ACA805-EF65-984E-A466-7306EEF922BB}" name="COSTO"/>
    <tableColumn id="8" xr3:uid="{BDE9F495-3BA5-4747-9165-8788238CD6C5}" name="P GRAN MAYOR" dataDxfId="10">
      <calculatedColumnFormula>ROUND(Tabla5[[#This Row],[COSTO]]/0.7,0)</calculatedColumnFormula>
    </tableColumn>
    <tableColumn id="6" xr3:uid="{5EEC3008-4430-6B45-8D4A-370BD375767B}" name="P POR MAYOR" dataDxfId="9">
      <calculatedColumnFormula>ROUND(Tabla5[[#This Row],[P GRAN MAYOR]]/0.8,0)</calculatedColumnFormula>
    </tableColumn>
    <tableColumn id="9" xr3:uid="{2FC90B2F-3FF6-EC4A-9629-D9A2DC0A08E0}" name="P DETAL" dataDxfId="8">
      <calculatedColumnFormula>ROUND(Tabla5[[#This Row],[P POR MAYOR]]/(1-0.375),0)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8E16C6-907D-2644-A8F5-C82BF4CBE1F4}" name="Tabla8" displayName="Tabla8" ref="D5:K48" totalsRowShown="0" headerRowDxfId="7" headerRowBorderDxfId="6" tableBorderDxfId="5">
  <autoFilter ref="D5:K48" xr:uid="{5B8E16C6-907D-2644-A8F5-C82BF4CBE1F4}"/>
  <tableColumns count="8">
    <tableColumn id="1" xr3:uid="{98EC85EF-2C16-EB4E-AFD6-4E714F192AF1}" name="REF INTERNA" dataDxfId="4"/>
    <tableColumn id="2" xr3:uid="{8B173A28-C66C-6A47-BE6B-9FE4B7737BCC}" name="NOMBRE" dataDxfId="3"/>
    <tableColumn id="3" xr3:uid="{6633875C-4A59-EB42-91A3-7BEC8BF8025D}" name="PROVEEDOR"/>
    <tableColumn id="4" xr3:uid="{33747918-2DEF-5144-93CB-3A900A5C7E58}" name="REFERENCIA"/>
    <tableColumn id="5" xr3:uid="{862407FD-C67D-8D46-B8DF-3D12F4A544E1}" name="COSTO"/>
    <tableColumn id="8" xr3:uid="{657C2375-69F9-A04D-94DF-C4369AC278BD}" name="P GRAN MAYOR" dataDxfId="2">
      <calculatedColumnFormula>Tabla8[[#This Row],[COSTO]]/0.7</calculatedColumnFormula>
    </tableColumn>
    <tableColumn id="6" xr3:uid="{EC137F22-5B5C-3F4B-8857-B0512C3240C4}" name="P POR MAYOR" dataDxfId="1">
      <calculatedColumnFormula>ROUND(Tabla8[[#This Row],[P GRAN MAYOR]]/0.8,0)</calculatedColumnFormula>
    </tableColumn>
    <tableColumn id="9" xr3:uid="{55E98BF4-D073-674D-9036-B853218E87C7}" name="P DETAL" dataDxfId="0">
      <calculatedColumnFormula>ROUND(Tabla8[[#This Row],[P POR MAYOR]]/(1-0.375),0)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75E8-12CE-A04D-8DC2-D2A197461334}">
  <dimension ref="D4:P160"/>
  <sheetViews>
    <sheetView tabSelected="1" topLeftCell="D1" zoomScale="178" zoomScaleNormal="84" workbookViewId="0">
      <selection activeCell="E8" sqref="E8"/>
    </sheetView>
  </sheetViews>
  <sheetFormatPr baseColWidth="10" defaultRowHeight="16" x14ac:dyDescent="0.2"/>
  <cols>
    <col min="4" max="4" width="36.33203125" bestFit="1" customWidth="1"/>
    <col min="5" max="5" width="58.6640625" customWidth="1"/>
    <col min="6" max="6" width="18.1640625" customWidth="1"/>
    <col min="7" max="7" width="14.1640625" customWidth="1"/>
    <col min="9" max="9" width="19.6640625" customWidth="1"/>
    <col min="10" max="11" width="15.1640625" customWidth="1"/>
    <col min="16" max="16" width="13" style="11" customWidth="1"/>
  </cols>
  <sheetData>
    <row r="4" spans="4:16" x14ac:dyDescent="0.2">
      <c r="I4" s="20">
        <f>(I6-H6)/I6</f>
        <v>0.29999562497265608</v>
      </c>
      <c r="J4" s="20">
        <f>(J6-H6)/J6</f>
        <v>0.44000139999650001</v>
      </c>
      <c r="K4" s="20">
        <f>(K6-H6)/K6</f>
        <v>0.65000164061730958</v>
      </c>
    </row>
    <row r="5" spans="4:16" x14ac:dyDescent="0.2"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1630</v>
      </c>
      <c r="J5" t="s">
        <v>5</v>
      </c>
      <c r="K5" t="s">
        <v>1632</v>
      </c>
      <c r="O5" t="s">
        <v>1493</v>
      </c>
      <c r="P5" s="11" t="s">
        <v>1489</v>
      </c>
    </row>
    <row r="6" spans="4:16" ht="29" customHeight="1" x14ac:dyDescent="0.2">
      <c r="D6" s="1" t="s">
        <v>1431</v>
      </c>
      <c r="E6" s="1" t="s">
        <v>50</v>
      </c>
      <c r="F6" t="s">
        <v>131</v>
      </c>
      <c r="G6" s="2" t="s">
        <v>116</v>
      </c>
      <c r="H6">
        <v>32000</v>
      </c>
      <c r="I6">
        <f>ROUND(Tabla1[[#This Row],[COSTO]]/0.7,0)</f>
        <v>45714</v>
      </c>
      <c r="J6" s="3">
        <f>ROUND(Tabla1[[#This Row],[P GRAN MAYOR]]/0.8,0)</f>
        <v>57143</v>
      </c>
      <c r="K6" s="3">
        <f>ROUND(Tabla1[[#This Row],[P POR MAYOR]]/(1-0.375),0)</f>
        <v>91429</v>
      </c>
      <c r="O6" s="13" t="s">
        <v>50</v>
      </c>
      <c r="P6" s="11">
        <v>3</v>
      </c>
    </row>
    <row r="7" spans="4:16" ht="30" x14ac:dyDescent="0.2">
      <c r="D7" s="1" t="s">
        <v>1432</v>
      </c>
      <c r="E7" s="1" t="s">
        <v>51</v>
      </c>
      <c r="F7" t="s">
        <v>131</v>
      </c>
      <c r="G7" s="2" t="s">
        <v>116</v>
      </c>
      <c r="H7">
        <v>32000</v>
      </c>
      <c r="I7">
        <f>ROUND(Tabla1[[#This Row],[COSTO]]/0.7,0)</f>
        <v>45714</v>
      </c>
      <c r="J7" s="3">
        <f>ROUND(Tabla1[[#This Row],[P GRAN MAYOR]]/0.8,0)</f>
        <v>57143</v>
      </c>
      <c r="K7" s="3">
        <f>ROUND(Tabla1[[#This Row],[P POR MAYOR]]/(1-0.375),0)</f>
        <v>91429</v>
      </c>
      <c r="O7" s="14" t="s">
        <v>51</v>
      </c>
      <c r="P7" s="11">
        <v>6</v>
      </c>
    </row>
    <row r="8" spans="4:16" ht="45" x14ac:dyDescent="0.2">
      <c r="D8" s="1" t="s">
        <v>1433</v>
      </c>
      <c r="E8" s="1" t="s">
        <v>52</v>
      </c>
      <c r="F8" t="s">
        <v>131</v>
      </c>
      <c r="G8" s="2" t="s">
        <v>116</v>
      </c>
      <c r="H8">
        <v>32000</v>
      </c>
      <c r="I8">
        <f>ROUND(Tabla1[[#This Row],[COSTO]]/0.7,0)</f>
        <v>45714</v>
      </c>
      <c r="J8" s="3">
        <f>ROUND(Tabla1[[#This Row],[P GRAN MAYOR]]/0.8,0)</f>
        <v>57143</v>
      </c>
      <c r="K8" s="3">
        <f>ROUND(Tabla1[[#This Row],[P POR MAYOR]]/(1-0.375),0)</f>
        <v>91429</v>
      </c>
      <c r="O8" s="13" t="s">
        <v>52</v>
      </c>
    </row>
    <row r="9" spans="4:16" ht="45" x14ac:dyDescent="0.2">
      <c r="D9" s="1" t="s">
        <v>1434</v>
      </c>
      <c r="E9" s="1" t="s">
        <v>53</v>
      </c>
      <c r="F9" t="s">
        <v>131</v>
      </c>
      <c r="G9" s="2" t="s">
        <v>116</v>
      </c>
      <c r="H9">
        <v>32000</v>
      </c>
      <c r="I9">
        <f>ROUND(Tabla1[[#This Row],[COSTO]]/0.7,0)</f>
        <v>45714</v>
      </c>
      <c r="J9" s="3">
        <f>ROUND(Tabla1[[#This Row],[P GRAN MAYOR]]/0.8,0)</f>
        <v>57143</v>
      </c>
      <c r="K9" s="3">
        <f>ROUND(Tabla1[[#This Row],[P POR MAYOR]]/(1-0.375),0)</f>
        <v>91429</v>
      </c>
      <c r="O9" s="14" t="s">
        <v>53</v>
      </c>
      <c r="P9" s="11">
        <v>9</v>
      </c>
    </row>
    <row r="10" spans="4:16" ht="30" x14ac:dyDescent="0.2">
      <c r="D10" s="1" t="s">
        <v>1435</v>
      </c>
      <c r="E10" s="1" t="s">
        <v>54</v>
      </c>
      <c r="F10" t="s">
        <v>131</v>
      </c>
      <c r="G10" s="2" t="s">
        <v>116</v>
      </c>
      <c r="H10">
        <v>32000</v>
      </c>
      <c r="I10">
        <f>ROUND(Tabla1[[#This Row],[COSTO]]/0.7,0)</f>
        <v>45714</v>
      </c>
      <c r="J10" s="3">
        <f>ROUND(Tabla1[[#This Row],[P GRAN MAYOR]]/0.8,0)</f>
        <v>57143</v>
      </c>
      <c r="K10" s="3">
        <f>ROUND(Tabla1[[#This Row],[P POR MAYOR]]/(1-0.375),0)</f>
        <v>91429</v>
      </c>
      <c r="O10" s="13" t="s">
        <v>54</v>
      </c>
      <c r="P10" s="11">
        <v>9</v>
      </c>
    </row>
    <row r="11" spans="4:16" ht="30" x14ac:dyDescent="0.2">
      <c r="D11" s="1" t="s">
        <v>1436</v>
      </c>
      <c r="E11" s="1" t="s">
        <v>55</v>
      </c>
      <c r="F11" t="s">
        <v>131</v>
      </c>
      <c r="G11" s="2" t="s">
        <v>116</v>
      </c>
      <c r="H11">
        <v>32000</v>
      </c>
      <c r="I11">
        <f>ROUND(Tabla1[[#This Row],[COSTO]]/0.7,0)</f>
        <v>45714</v>
      </c>
      <c r="J11" s="3">
        <f>ROUND(Tabla1[[#This Row],[P GRAN MAYOR]]/0.8,0)</f>
        <v>57143</v>
      </c>
      <c r="K11" s="3">
        <f>ROUND(Tabla1[[#This Row],[P POR MAYOR]]/(1-0.375),0)</f>
        <v>91429</v>
      </c>
      <c r="O11" s="14" t="s">
        <v>55</v>
      </c>
      <c r="P11" s="11">
        <v>8</v>
      </c>
    </row>
    <row r="12" spans="4:16" ht="30" x14ac:dyDescent="0.2">
      <c r="D12" s="1" t="s">
        <v>1437</v>
      </c>
      <c r="E12" s="1" t="s">
        <v>56</v>
      </c>
      <c r="F12" t="s">
        <v>131</v>
      </c>
      <c r="G12" s="2" t="s">
        <v>116</v>
      </c>
      <c r="H12">
        <v>32000</v>
      </c>
      <c r="I12">
        <f>ROUND(Tabla1[[#This Row],[COSTO]]/0.7,0)</f>
        <v>45714</v>
      </c>
      <c r="J12" s="3">
        <f>ROUND(Tabla1[[#This Row],[P GRAN MAYOR]]/0.8,0)</f>
        <v>57143</v>
      </c>
      <c r="K12" s="3">
        <f>ROUND(Tabla1[[#This Row],[P POR MAYOR]]/(1-0.375),0)</f>
        <v>91429</v>
      </c>
      <c r="O12" s="13" t="s">
        <v>56</v>
      </c>
    </row>
    <row r="13" spans="4:16" ht="45" x14ac:dyDescent="0.2">
      <c r="D13" s="1" t="s">
        <v>1438</v>
      </c>
      <c r="E13" s="1" t="s">
        <v>57</v>
      </c>
      <c r="F13" t="s">
        <v>131</v>
      </c>
      <c r="G13" s="2" t="s">
        <v>116</v>
      </c>
      <c r="H13">
        <v>32000</v>
      </c>
      <c r="I13">
        <f>ROUND(Tabla1[[#This Row],[COSTO]]/0.7,0)</f>
        <v>45714</v>
      </c>
      <c r="J13" s="3">
        <f>ROUND(Tabla1[[#This Row],[P GRAN MAYOR]]/0.8,0)</f>
        <v>57143</v>
      </c>
      <c r="K13" s="3">
        <f>ROUND(Tabla1[[#This Row],[P POR MAYOR]]/(1-0.375),0)</f>
        <v>91429</v>
      </c>
      <c r="O13" s="14" t="s">
        <v>57</v>
      </c>
      <c r="P13" s="11">
        <v>8</v>
      </c>
    </row>
    <row r="14" spans="4:16" ht="30" x14ac:dyDescent="0.2">
      <c r="D14" s="1" t="s">
        <v>1439</v>
      </c>
      <c r="E14" s="1" t="s">
        <v>58</v>
      </c>
      <c r="F14" t="s">
        <v>131</v>
      </c>
      <c r="G14" s="2" t="s">
        <v>116</v>
      </c>
      <c r="H14">
        <v>32000</v>
      </c>
      <c r="I14">
        <f>ROUND(Tabla1[[#This Row],[COSTO]]/0.7,0)</f>
        <v>45714</v>
      </c>
      <c r="J14" s="3">
        <f>ROUND(Tabla1[[#This Row],[P GRAN MAYOR]]/0.8,0)</f>
        <v>57143</v>
      </c>
      <c r="K14" s="3">
        <f>ROUND(Tabla1[[#This Row],[P POR MAYOR]]/(1-0.375),0)</f>
        <v>91429</v>
      </c>
      <c r="O14" s="13" t="s">
        <v>58</v>
      </c>
      <c r="P14" s="11">
        <v>1</v>
      </c>
    </row>
    <row r="15" spans="4:16" ht="30" x14ac:dyDescent="0.2">
      <c r="D15" s="1" t="s">
        <v>1443</v>
      </c>
      <c r="E15" s="1" t="s">
        <v>59</v>
      </c>
      <c r="F15" t="s">
        <v>131</v>
      </c>
      <c r="G15" s="2" t="s">
        <v>116</v>
      </c>
      <c r="H15">
        <v>32000</v>
      </c>
      <c r="I15">
        <f>ROUND(Tabla1[[#This Row],[COSTO]]/0.7,0)</f>
        <v>45714</v>
      </c>
      <c r="J15" s="3">
        <f>ROUND(Tabla1[[#This Row],[P GRAN MAYOR]]/0.8,0)</f>
        <v>57143</v>
      </c>
      <c r="K15" s="3">
        <f>ROUND(Tabla1[[#This Row],[P POR MAYOR]]/(1-0.375),0)</f>
        <v>91429</v>
      </c>
      <c r="O15" s="14" t="s">
        <v>59</v>
      </c>
      <c r="P15" s="11">
        <v>1</v>
      </c>
    </row>
    <row r="16" spans="4:16" ht="30" x14ac:dyDescent="0.2">
      <c r="D16" s="1" t="s">
        <v>1444</v>
      </c>
      <c r="E16" s="1" t="s">
        <v>60</v>
      </c>
      <c r="F16" t="s">
        <v>131</v>
      </c>
      <c r="G16" s="2" t="s">
        <v>116</v>
      </c>
      <c r="H16">
        <v>32000</v>
      </c>
      <c r="I16">
        <f>ROUND(Tabla1[[#This Row],[COSTO]]/0.7,0)</f>
        <v>45714</v>
      </c>
      <c r="J16" s="3">
        <f>ROUND(Tabla1[[#This Row],[P GRAN MAYOR]]/0.8,0)</f>
        <v>57143</v>
      </c>
      <c r="K16" s="3">
        <f>ROUND(Tabla1[[#This Row],[P POR MAYOR]]/(1-0.375),0)</f>
        <v>91429</v>
      </c>
      <c r="O16" s="13" t="s">
        <v>60</v>
      </c>
    </row>
    <row r="17" spans="4:16" ht="30" x14ac:dyDescent="0.2">
      <c r="D17" s="1" t="s">
        <v>1445</v>
      </c>
      <c r="E17" s="1" t="s">
        <v>61</v>
      </c>
      <c r="F17" t="s">
        <v>131</v>
      </c>
      <c r="G17" s="2" t="s">
        <v>116</v>
      </c>
      <c r="H17">
        <v>32000</v>
      </c>
      <c r="I17">
        <f>ROUND(Tabla1[[#This Row],[COSTO]]/0.7,0)</f>
        <v>45714</v>
      </c>
      <c r="J17" s="3">
        <f>ROUND(Tabla1[[#This Row],[P GRAN MAYOR]]/0.8,0)</f>
        <v>57143</v>
      </c>
      <c r="K17" s="3">
        <f>ROUND(Tabla1[[#This Row],[P POR MAYOR]]/(1-0.375),0)</f>
        <v>91429</v>
      </c>
      <c r="O17" s="14" t="s">
        <v>61</v>
      </c>
      <c r="P17" s="11">
        <v>8</v>
      </c>
    </row>
    <row r="18" spans="4:16" ht="30" x14ac:dyDescent="0.2">
      <c r="D18" s="1" t="s">
        <v>1440</v>
      </c>
      <c r="E18" s="1" t="s">
        <v>62</v>
      </c>
      <c r="F18" t="s">
        <v>131</v>
      </c>
      <c r="G18" s="2" t="s">
        <v>116</v>
      </c>
      <c r="H18">
        <v>32000</v>
      </c>
      <c r="I18">
        <f>ROUND(Tabla1[[#This Row],[COSTO]]/0.7,0)</f>
        <v>45714</v>
      </c>
      <c r="J18" s="3">
        <f>ROUND(Tabla1[[#This Row],[P GRAN MAYOR]]/0.8,0)</f>
        <v>57143</v>
      </c>
      <c r="K18" s="3">
        <f>ROUND(Tabla1[[#This Row],[P POR MAYOR]]/(1-0.375),0)</f>
        <v>91429</v>
      </c>
      <c r="O18" s="13" t="s">
        <v>62</v>
      </c>
      <c r="P18" s="11">
        <v>1</v>
      </c>
    </row>
    <row r="19" spans="4:16" ht="30" x14ac:dyDescent="0.2">
      <c r="D19" s="1" t="s">
        <v>1446</v>
      </c>
      <c r="E19" s="1" t="s">
        <v>63</v>
      </c>
      <c r="F19" t="s">
        <v>131</v>
      </c>
      <c r="G19" s="2" t="s">
        <v>116</v>
      </c>
      <c r="H19">
        <v>32000</v>
      </c>
      <c r="I19">
        <f>ROUND(Tabla1[[#This Row],[COSTO]]/0.7,0)</f>
        <v>45714</v>
      </c>
      <c r="J19" s="3">
        <f>ROUND(Tabla1[[#This Row],[P GRAN MAYOR]]/0.8,0)</f>
        <v>57143</v>
      </c>
      <c r="K19" s="3">
        <f>ROUND(Tabla1[[#This Row],[P POR MAYOR]]/(1-0.375),0)</f>
        <v>91429</v>
      </c>
      <c r="O19" s="14" t="s">
        <v>63</v>
      </c>
      <c r="P19" s="11">
        <v>6</v>
      </c>
    </row>
    <row r="20" spans="4:16" ht="30" x14ac:dyDescent="0.2">
      <c r="D20" s="1" t="s">
        <v>1447</v>
      </c>
      <c r="E20" s="1" t="s">
        <v>64</v>
      </c>
      <c r="F20" t="s">
        <v>131</v>
      </c>
      <c r="G20" s="2" t="s">
        <v>116</v>
      </c>
      <c r="H20">
        <v>32000</v>
      </c>
      <c r="I20">
        <f>ROUND(Tabla1[[#This Row],[COSTO]]/0.7,0)</f>
        <v>45714</v>
      </c>
      <c r="J20" s="3">
        <f>ROUND(Tabla1[[#This Row],[P GRAN MAYOR]]/0.8,0)</f>
        <v>57143</v>
      </c>
      <c r="K20" s="3">
        <f>ROUND(Tabla1[[#This Row],[P POR MAYOR]]/(1-0.375),0)</f>
        <v>91429</v>
      </c>
      <c r="O20" s="13" t="s">
        <v>64</v>
      </c>
    </row>
    <row r="21" spans="4:16" ht="30" x14ac:dyDescent="0.2">
      <c r="D21" s="1" t="s">
        <v>1448</v>
      </c>
      <c r="E21" s="1" t="s">
        <v>65</v>
      </c>
      <c r="F21" t="s">
        <v>131</v>
      </c>
      <c r="G21" s="2" t="s">
        <v>116</v>
      </c>
      <c r="H21">
        <v>32000</v>
      </c>
      <c r="I21">
        <f>ROUND(Tabla1[[#This Row],[COSTO]]/0.7,0)</f>
        <v>45714</v>
      </c>
      <c r="J21" s="3">
        <f>ROUND(Tabla1[[#This Row],[P GRAN MAYOR]]/0.8,0)</f>
        <v>57143</v>
      </c>
      <c r="K21" s="3">
        <f>ROUND(Tabla1[[#This Row],[P POR MAYOR]]/(1-0.375),0)</f>
        <v>91429</v>
      </c>
      <c r="O21" s="14" t="s">
        <v>65</v>
      </c>
    </row>
    <row r="22" spans="4:16" ht="45" x14ac:dyDescent="0.2">
      <c r="D22" s="1" t="s">
        <v>6</v>
      </c>
      <c r="E22" s="1" t="s">
        <v>66</v>
      </c>
      <c r="F22" t="s">
        <v>132</v>
      </c>
      <c r="G22" s="2" t="s">
        <v>117</v>
      </c>
      <c r="H22">
        <v>34200</v>
      </c>
      <c r="I22">
        <f>ROUND(Tabla1[[#This Row],[COSTO]]/0.7,0)</f>
        <v>48857</v>
      </c>
      <c r="J22" s="3">
        <f>ROUND(Tabla1[[#This Row],[P GRAN MAYOR]]/0.8,0)</f>
        <v>61071</v>
      </c>
      <c r="K22" s="3">
        <f>ROUND(Tabla1[[#This Row],[P POR MAYOR]]/(1-0.375),0)</f>
        <v>97714</v>
      </c>
      <c r="O22" s="13" t="s">
        <v>69</v>
      </c>
      <c r="P22" s="11">
        <v>15</v>
      </c>
    </row>
    <row r="23" spans="4:16" ht="30" x14ac:dyDescent="0.2">
      <c r="D23" s="1" t="s">
        <v>7</v>
      </c>
      <c r="E23" s="1" t="s">
        <v>67</v>
      </c>
      <c r="F23" t="s">
        <v>132</v>
      </c>
      <c r="G23" s="2" t="s">
        <v>118</v>
      </c>
      <c r="H23">
        <v>52200</v>
      </c>
      <c r="I23">
        <f>ROUND(Tabla1[[#This Row],[COSTO]]/0.7,0)</f>
        <v>74571</v>
      </c>
      <c r="J23" s="3">
        <f>ROUND(Tabla1[[#This Row],[P GRAN MAYOR]]/0.8,0)</f>
        <v>93214</v>
      </c>
      <c r="K23" s="3">
        <f>ROUND(Tabla1[[#This Row],[P POR MAYOR]]/(1-0.375),0)</f>
        <v>149142</v>
      </c>
      <c r="O23" s="14" t="s">
        <v>87</v>
      </c>
    </row>
    <row r="24" spans="4:16" ht="45" x14ac:dyDescent="0.2">
      <c r="D24" s="1" t="s">
        <v>8</v>
      </c>
      <c r="E24" s="1" t="s">
        <v>68</v>
      </c>
      <c r="F24" t="s">
        <v>132</v>
      </c>
      <c r="G24" s="2" t="s">
        <v>119</v>
      </c>
      <c r="H24">
        <v>34200</v>
      </c>
      <c r="I24">
        <f>ROUND(Tabla1[[#This Row],[COSTO]]/0.7,0)</f>
        <v>48857</v>
      </c>
      <c r="J24" s="3">
        <f>ROUND(Tabla1[[#This Row],[P GRAN MAYOR]]/0.8,0)</f>
        <v>61071</v>
      </c>
      <c r="K24" s="3">
        <f>ROUND(Tabla1[[#This Row],[P POR MAYOR]]/(1-0.375),0)</f>
        <v>97714</v>
      </c>
      <c r="O24" s="13" t="s">
        <v>88</v>
      </c>
      <c r="P24" s="11">
        <v>11</v>
      </c>
    </row>
    <row r="25" spans="4:16" ht="45" x14ac:dyDescent="0.2">
      <c r="D25" s="1" t="s">
        <v>1441</v>
      </c>
      <c r="E25" s="1" t="s">
        <v>69</v>
      </c>
      <c r="F25" t="s">
        <v>131</v>
      </c>
      <c r="G25" s="2" t="s">
        <v>116</v>
      </c>
      <c r="H25">
        <v>32000</v>
      </c>
      <c r="I25">
        <f>ROUND(Tabla1[[#This Row],[COSTO]]/0.7,0)</f>
        <v>45714</v>
      </c>
      <c r="J25" s="3">
        <f>ROUND(Tabla1[[#This Row],[P GRAN MAYOR]]/0.8,0)</f>
        <v>57143</v>
      </c>
      <c r="K25" s="3">
        <f>ROUND(Tabla1[[#This Row],[P POR MAYOR]]/(1-0.375),0)</f>
        <v>91429</v>
      </c>
      <c r="O25" s="14" t="s">
        <v>89</v>
      </c>
      <c r="P25" s="11">
        <v>13</v>
      </c>
    </row>
    <row r="26" spans="4:16" ht="45" x14ac:dyDescent="0.2">
      <c r="D26" s="1" t="s">
        <v>9</v>
      </c>
      <c r="E26" s="1" t="s">
        <v>70</v>
      </c>
      <c r="F26" t="s">
        <v>133</v>
      </c>
      <c r="G26" s="2" t="s">
        <v>116</v>
      </c>
      <c r="I26">
        <f>ROUND(Tabla1[[#This Row],[COSTO]]/0.7,0)</f>
        <v>0</v>
      </c>
      <c r="J26" s="3">
        <f>ROUND(Tabla1[[#This Row],[P GRAN MAYOR]]/0.8,0)</f>
        <v>0</v>
      </c>
      <c r="K26" s="3">
        <f>ROUND(Tabla1[[#This Row],[P POR MAYOR]]/(1-0.375),0)</f>
        <v>0</v>
      </c>
      <c r="O26" s="13" t="s">
        <v>90</v>
      </c>
      <c r="P26" s="11">
        <v>7</v>
      </c>
    </row>
    <row r="27" spans="4:16" ht="30" x14ac:dyDescent="0.2">
      <c r="D27" s="1" t="s">
        <v>10</v>
      </c>
      <c r="E27" s="1" t="s">
        <v>71</v>
      </c>
      <c r="F27" t="s">
        <v>133</v>
      </c>
      <c r="G27" s="2" t="s">
        <v>116</v>
      </c>
      <c r="I27">
        <f>ROUND(Tabla1[[#This Row],[COSTO]]/0.7,0)</f>
        <v>0</v>
      </c>
      <c r="J27" s="3">
        <f>ROUND(Tabla1[[#This Row],[P GRAN MAYOR]]/0.8,0)</f>
        <v>0</v>
      </c>
      <c r="K27" s="3">
        <f>ROUND(Tabla1[[#This Row],[P POR MAYOR]]/(1-0.375),0)</f>
        <v>0</v>
      </c>
      <c r="O27" s="14" t="s">
        <v>106</v>
      </c>
      <c r="P27" s="11">
        <v>3</v>
      </c>
    </row>
    <row r="28" spans="4:16" ht="30" x14ac:dyDescent="0.2">
      <c r="D28" s="1" t="s">
        <v>11</v>
      </c>
      <c r="E28" s="1" t="s">
        <v>72</v>
      </c>
      <c r="F28" t="s">
        <v>133</v>
      </c>
      <c r="G28" s="2" t="s">
        <v>116</v>
      </c>
      <c r="I28">
        <f>ROUND(Tabla1[[#This Row],[COSTO]]/0.7,0)</f>
        <v>0</v>
      </c>
      <c r="J28" s="3">
        <f>ROUND(Tabla1[[#This Row],[P GRAN MAYOR]]/0.8,0)</f>
        <v>0</v>
      </c>
      <c r="K28" s="3">
        <f>ROUND(Tabla1[[#This Row],[P POR MAYOR]]/(1-0.375),0)</f>
        <v>0</v>
      </c>
      <c r="O28" s="13" t="s">
        <v>107</v>
      </c>
      <c r="P28" s="11">
        <v>4</v>
      </c>
    </row>
    <row r="29" spans="4:16" ht="30" x14ac:dyDescent="0.2">
      <c r="D29" s="1" t="s">
        <v>12</v>
      </c>
      <c r="E29" s="2" t="s">
        <v>73</v>
      </c>
      <c r="F29" t="s">
        <v>133</v>
      </c>
      <c r="G29" s="2" t="s">
        <v>116</v>
      </c>
      <c r="I29">
        <f>ROUND(Tabla1[[#This Row],[COSTO]]/0.7,0)</f>
        <v>0</v>
      </c>
      <c r="J29" s="3">
        <f>ROUND(Tabla1[[#This Row],[P GRAN MAYOR]]/0.8,0)</f>
        <v>0</v>
      </c>
      <c r="K29" s="3">
        <f>ROUND(Tabla1[[#This Row],[P POR MAYOR]]/(1-0.375),0)</f>
        <v>0</v>
      </c>
      <c r="O29" s="14" t="s">
        <v>108</v>
      </c>
      <c r="P29" s="11">
        <v>3</v>
      </c>
    </row>
    <row r="30" spans="4:16" ht="30" x14ac:dyDescent="0.2">
      <c r="D30" s="1" t="s">
        <v>13</v>
      </c>
      <c r="E30" s="2" t="s">
        <v>74</v>
      </c>
      <c r="F30" t="s">
        <v>133</v>
      </c>
      <c r="G30" s="2"/>
      <c r="I30">
        <f>ROUND(Tabla1[[#This Row],[COSTO]]/0.7,0)</f>
        <v>0</v>
      </c>
      <c r="J30" s="3">
        <f>ROUND(Tabla1[[#This Row],[P GRAN MAYOR]]/0.8,0)</f>
        <v>0</v>
      </c>
      <c r="K30" s="3">
        <f>ROUND(Tabla1[[#This Row],[P POR MAYOR]]/(1-0.375),0)</f>
        <v>0</v>
      </c>
      <c r="O30" s="13" t="s">
        <v>109</v>
      </c>
      <c r="P30" s="11">
        <v>8</v>
      </c>
    </row>
    <row r="31" spans="4:16" ht="30" x14ac:dyDescent="0.2">
      <c r="D31" s="1" t="s">
        <v>14</v>
      </c>
      <c r="E31" s="2" t="s">
        <v>75</v>
      </c>
      <c r="F31" t="s">
        <v>133</v>
      </c>
      <c r="G31" s="2" t="s">
        <v>116</v>
      </c>
      <c r="I31">
        <f>ROUND(Tabla1[[#This Row],[COSTO]]/0.7,0)</f>
        <v>0</v>
      </c>
      <c r="J31" s="3">
        <f>ROUND(Tabla1[[#This Row],[P GRAN MAYOR]]/0.8,0)</f>
        <v>0</v>
      </c>
      <c r="K31" s="3">
        <f>ROUND(Tabla1[[#This Row],[P POR MAYOR]]/(1-0.375),0)</f>
        <v>0</v>
      </c>
      <c r="O31" s="14" t="s">
        <v>110</v>
      </c>
      <c r="P31" s="11">
        <v>11</v>
      </c>
    </row>
    <row r="32" spans="4:16" ht="60" x14ac:dyDescent="0.2">
      <c r="D32" s="1" t="s">
        <v>15</v>
      </c>
      <c r="E32" s="2" t="s">
        <v>76</v>
      </c>
      <c r="F32" t="s">
        <v>133</v>
      </c>
      <c r="G32" s="2" t="s">
        <v>116</v>
      </c>
      <c r="I32">
        <f>ROUND(Tabla1[[#This Row],[COSTO]]/0.7,0)</f>
        <v>0</v>
      </c>
      <c r="J32" s="3">
        <f>ROUND(Tabla1[[#This Row],[P GRAN MAYOR]]/0.8,0)</f>
        <v>0</v>
      </c>
      <c r="K32" s="3">
        <f>ROUND(Tabla1[[#This Row],[P POR MAYOR]]/(1-0.375),0)</f>
        <v>0</v>
      </c>
      <c r="O32" s="13" t="s">
        <v>111</v>
      </c>
    </row>
    <row r="33" spans="4:16" ht="30" x14ac:dyDescent="0.2">
      <c r="D33" s="1" t="s">
        <v>16</v>
      </c>
      <c r="E33" s="2" t="s">
        <v>77</v>
      </c>
      <c r="F33" t="s">
        <v>134</v>
      </c>
      <c r="G33" s="2" t="s">
        <v>120</v>
      </c>
      <c r="H33">
        <v>37525</v>
      </c>
      <c r="I33">
        <f>ROUND(Tabla1[[#This Row],[COSTO]]/0.7,0)</f>
        <v>53607</v>
      </c>
      <c r="J33" s="3">
        <f>ROUND(Tabla1[[#This Row],[P GRAN MAYOR]]/0.8,0)</f>
        <v>67009</v>
      </c>
      <c r="K33" s="3">
        <f>ROUND(Tabla1[[#This Row],[P POR MAYOR]]/(1-0.375),0)</f>
        <v>107214</v>
      </c>
      <c r="O33" s="14" t="s">
        <v>112</v>
      </c>
      <c r="P33" s="11">
        <v>16</v>
      </c>
    </row>
    <row r="34" spans="4:16" ht="30" x14ac:dyDescent="0.2">
      <c r="D34" s="1" t="s">
        <v>17</v>
      </c>
      <c r="E34" s="2" t="s">
        <v>78</v>
      </c>
      <c r="F34" t="s">
        <v>134</v>
      </c>
      <c r="G34" s="2" t="s">
        <v>121</v>
      </c>
      <c r="H34">
        <f>48500*0.95</f>
        <v>46075</v>
      </c>
      <c r="I34">
        <f>ROUND(Tabla1[[#This Row],[COSTO]]/0.7,0)</f>
        <v>65821</v>
      </c>
      <c r="J34" s="3">
        <f>ROUND(Tabla1[[#This Row],[P GRAN MAYOR]]/0.8,0)</f>
        <v>82276</v>
      </c>
      <c r="K34" s="3">
        <f>ROUND(Tabla1[[#This Row],[P POR MAYOR]]/(1-0.375),0)</f>
        <v>131642</v>
      </c>
      <c r="O34" s="13" t="s">
        <v>113</v>
      </c>
      <c r="P34" s="11">
        <v>8</v>
      </c>
    </row>
    <row r="35" spans="4:16" ht="30" x14ac:dyDescent="0.2">
      <c r="D35" s="1" t="s">
        <v>18</v>
      </c>
      <c r="E35" s="2" t="s">
        <v>79</v>
      </c>
      <c r="F35" t="s">
        <v>134</v>
      </c>
      <c r="G35" s="2" t="s">
        <v>122</v>
      </c>
      <c r="H35">
        <v>26125</v>
      </c>
      <c r="I35">
        <f>ROUND(Tabla1[[#This Row],[COSTO]]/0.7,0)</f>
        <v>37321</v>
      </c>
      <c r="J35" s="3">
        <f>ROUND(Tabla1[[#This Row],[P GRAN MAYOR]]/0.8,0)</f>
        <v>46651</v>
      </c>
      <c r="K35" s="3">
        <f>ROUND(Tabla1[[#This Row],[P POR MAYOR]]/(1-0.375),0)</f>
        <v>74642</v>
      </c>
      <c r="O35" s="14" t="s">
        <v>114</v>
      </c>
    </row>
    <row r="36" spans="4:16" ht="45" x14ac:dyDescent="0.2">
      <c r="D36" s="1" t="s">
        <v>19</v>
      </c>
      <c r="E36" s="2" t="s">
        <v>80</v>
      </c>
      <c r="F36" t="s">
        <v>134</v>
      </c>
      <c r="G36" s="2" t="s">
        <v>123</v>
      </c>
      <c r="H36">
        <v>34010</v>
      </c>
      <c r="I36">
        <f>ROUND(Tabla1[[#This Row],[COSTO]]/0.7,0)</f>
        <v>48586</v>
      </c>
      <c r="J36" s="3">
        <f>ROUND(Tabla1[[#This Row],[P GRAN MAYOR]]/0.8,0)</f>
        <v>60733</v>
      </c>
      <c r="K36" s="3">
        <f>ROUND(Tabla1[[#This Row],[P POR MAYOR]]/(1-0.375),0)</f>
        <v>97173</v>
      </c>
      <c r="O36" s="13" t="s">
        <v>115</v>
      </c>
    </row>
    <row r="37" spans="4:16" ht="30" x14ac:dyDescent="0.2">
      <c r="D37" s="1" t="s">
        <v>20</v>
      </c>
      <c r="E37" s="2" t="s">
        <v>81</v>
      </c>
      <c r="F37" t="s">
        <v>134</v>
      </c>
      <c r="G37" s="2" t="s">
        <v>124</v>
      </c>
      <c r="H37">
        <v>26125</v>
      </c>
      <c r="I37">
        <f>ROUND(Tabla1[[#This Row],[COSTO]]/0.7,0)</f>
        <v>37321</v>
      </c>
      <c r="J37" s="3">
        <f>ROUND(Tabla1[[#This Row],[P GRAN MAYOR]]/0.8,0)</f>
        <v>46651</v>
      </c>
      <c r="K37" s="3">
        <f>ROUND(Tabla1[[#This Row],[P POR MAYOR]]/(1-0.375),0)</f>
        <v>74642</v>
      </c>
      <c r="O37" s="14" t="s">
        <v>1138</v>
      </c>
      <c r="P37" s="11">
        <v>11</v>
      </c>
    </row>
    <row r="38" spans="4:16" ht="30" x14ac:dyDescent="0.2">
      <c r="D38" s="1" t="s">
        <v>21</v>
      </c>
      <c r="E38" s="2" t="s">
        <v>82</v>
      </c>
      <c r="F38" t="s">
        <v>134</v>
      </c>
      <c r="G38" s="2" t="s">
        <v>125</v>
      </c>
      <c r="H38">
        <v>31825</v>
      </c>
      <c r="I38">
        <f>ROUND(Tabla1[[#This Row],[COSTO]]/0.7,0)</f>
        <v>45464</v>
      </c>
      <c r="J38" s="3">
        <f>ROUND(Tabla1[[#This Row],[P GRAN MAYOR]]/0.8,0)</f>
        <v>56830</v>
      </c>
      <c r="K38" s="3">
        <f>ROUND(Tabla1[[#This Row],[P POR MAYOR]]/(1-0.375),0)</f>
        <v>90928</v>
      </c>
      <c r="O38" s="13" t="s">
        <v>1139</v>
      </c>
      <c r="P38" s="11">
        <v>8</v>
      </c>
    </row>
    <row r="39" spans="4:16" ht="30" x14ac:dyDescent="0.2">
      <c r="D39" s="1" t="s">
        <v>22</v>
      </c>
      <c r="E39" s="2" t="s">
        <v>83</v>
      </c>
      <c r="F39" t="s">
        <v>134</v>
      </c>
      <c r="G39" s="2" t="s">
        <v>126</v>
      </c>
      <c r="H39">
        <v>41325</v>
      </c>
      <c r="I39">
        <f>ROUND(Tabla1[[#This Row],[COSTO]]/0.7,0)</f>
        <v>59036</v>
      </c>
      <c r="J39" s="3">
        <f>ROUND(Tabla1[[#This Row],[P GRAN MAYOR]]/0.8,0)</f>
        <v>73795</v>
      </c>
      <c r="K39" s="3">
        <f>ROUND(Tabla1[[#This Row],[P POR MAYOR]]/(1-0.375),0)</f>
        <v>118072</v>
      </c>
      <c r="O39" s="14" t="s">
        <v>1140</v>
      </c>
      <c r="P39" s="11">
        <v>1</v>
      </c>
    </row>
    <row r="40" spans="4:16" ht="30" x14ac:dyDescent="0.2">
      <c r="D40" s="1" t="s">
        <v>23</v>
      </c>
      <c r="E40" s="2" t="s">
        <v>84</v>
      </c>
      <c r="F40" t="s">
        <v>134</v>
      </c>
      <c r="G40" s="2" t="s">
        <v>127</v>
      </c>
      <c r="H40">
        <v>15675</v>
      </c>
      <c r="I40">
        <f>ROUND(Tabla1[[#This Row],[COSTO]]/0.7,0)</f>
        <v>22393</v>
      </c>
      <c r="J40" s="3">
        <f>ROUND(Tabla1[[#This Row],[P GRAN MAYOR]]/0.8,0)</f>
        <v>27991</v>
      </c>
      <c r="K40" s="3">
        <f>ROUND(Tabla1[[#This Row],[P POR MAYOR]]/(1-0.375),0)</f>
        <v>44786</v>
      </c>
      <c r="O40" s="13" t="s">
        <v>1142</v>
      </c>
      <c r="P40" s="11">
        <v>27</v>
      </c>
    </row>
    <row r="41" spans="4:16" ht="30" x14ac:dyDescent="0.2">
      <c r="D41" s="1" t="s">
        <v>24</v>
      </c>
      <c r="E41" s="2" t="s">
        <v>85</v>
      </c>
      <c r="F41" t="s">
        <v>134</v>
      </c>
      <c r="G41" s="2" t="s">
        <v>128</v>
      </c>
      <c r="H41">
        <v>26125</v>
      </c>
      <c r="I41">
        <f>ROUND(Tabla1[[#This Row],[COSTO]]/0.7,0)</f>
        <v>37321</v>
      </c>
      <c r="J41" s="3">
        <f>ROUND(Tabla1[[#This Row],[P GRAN MAYOR]]/0.8,0)</f>
        <v>46651</v>
      </c>
      <c r="K41" s="3">
        <f>ROUND(Tabla1[[#This Row],[P POR MAYOR]]/(1-0.375),0)</f>
        <v>74642</v>
      </c>
      <c r="O41" s="14" t="s">
        <v>1144</v>
      </c>
      <c r="P41" s="11">
        <v>6</v>
      </c>
    </row>
    <row r="42" spans="4:16" ht="30" x14ac:dyDescent="0.2">
      <c r="D42" s="1" t="s">
        <v>25</v>
      </c>
      <c r="E42" s="2" t="s">
        <v>86</v>
      </c>
      <c r="F42" t="s">
        <v>134</v>
      </c>
      <c r="G42" s="2" t="s">
        <v>129</v>
      </c>
      <c r="H42">
        <v>29925</v>
      </c>
      <c r="I42">
        <f>ROUND(Tabla1[[#This Row],[COSTO]]/0.7,0)</f>
        <v>42750</v>
      </c>
      <c r="J42" s="3">
        <f>ROUND(Tabla1[[#This Row],[P GRAN MAYOR]]/0.8,0)</f>
        <v>53438</v>
      </c>
      <c r="K42" s="3">
        <f>ROUND(Tabla1[[#This Row],[P POR MAYOR]]/(1-0.375),0)</f>
        <v>85501</v>
      </c>
      <c r="O42" s="13" t="s">
        <v>1146</v>
      </c>
      <c r="P42" s="11">
        <v>12</v>
      </c>
    </row>
    <row r="43" spans="4:16" ht="30" x14ac:dyDescent="0.2">
      <c r="D43" s="1" t="s">
        <v>1449</v>
      </c>
      <c r="E43" s="1" t="s">
        <v>87</v>
      </c>
      <c r="F43" t="s">
        <v>131</v>
      </c>
      <c r="G43" s="2" t="s">
        <v>116</v>
      </c>
      <c r="H43">
        <v>32000</v>
      </c>
      <c r="I43">
        <f>ROUND(Tabla1[[#This Row],[COSTO]]/0.7,0)</f>
        <v>45714</v>
      </c>
      <c r="J43" s="3">
        <f>ROUND(Tabla1[[#This Row],[P GRAN MAYOR]]/0.8,0)</f>
        <v>57143</v>
      </c>
      <c r="K43" s="3">
        <f>ROUND(Tabla1[[#This Row],[P POR MAYOR]]/(1-0.375),0)</f>
        <v>91429</v>
      </c>
      <c r="O43" s="14" t="s">
        <v>1148</v>
      </c>
      <c r="P43" s="11">
        <v>15</v>
      </c>
    </row>
    <row r="44" spans="4:16" ht="30" x14ac:dyDescent="0.2">
      <c r="D44" s="1" t="s">
        <v>1450</v>
      </c>
      <c r="E44" s="1" t="s">
        <v>88</v>
      </c>
      <c r="F44" t="s">
        <v>131</v>
      </c>
      <c r="G44" s="2" t="s">
        <v>116</v>
      </c>
      <c r="H44">
        <v>32000</v>
      </c>
      <c r="I44">
        <f>ROUND(Tabla1[[#This Row],[COSTO]]/0.7,0)</f>
        <v>45714</v>
      </c>
      <c r="J44" s="3">
        <f>ROUND(Tabla1[[#This Row],[P GRAN MAYOR]]/0.8,0)</f>
        <v>57143</v>
      </c>
      <c r="K44" s="3">
        <f>ROUND(Tabla1[[#This Row],[P POR MAYOR]]/(1-0.375),0)</f>
        <v>91429</v>
      </c>
      <c r="O44" s="13" t="s">
        <v>1150</v>
      </c>
      <c r="P44" s="11">
        <v>7</v>
      </c>
    </row>
    <row r="45" spans="4:16" ht="30" x14ac:dyDescent="0.2">
      <c r="D45" s="1" t="s">
        <v>1451</v>
      </c>
      <c r="E45" s="1" t="s">
        <v>89</v>
      </c>
      <c r="F45" t="s">
        <v>131</v>
      </c>
      <c r="G45" s="2" t="s">
        <v>116</v>
      </c>
      <c r="H45">
        <v>32000</v>
      </c>
      <c r="I45">
        <f>ROUND(Tabla1[[#This Row],[COSTO]]/0.7,0)</f>
        <v>45714</v>
      </c>
      <c r="J45" s="3">
        <f>ROUND(Tabla1[[#This Row],[P GRAN MAYOR]]/0.8,0)</f>
        <v>57143</v>
      </c>
      <c r="K45" s="3">
        <f>ROUND(Tabla1[[#This Row],[P POR MAYOR]]/(1-0.375),0)</f>
        <v>91429</v>
      </c>
      <c r="O45" s="14" t="s">
        <v>1152</v>
      </c>
      <c r="P45" s="11">
        <v>6</v>
      </c>
    </row>
    <row r="46" spans="4:16" ht="30" x14ac:dyDescent="0.2">
      <c r="D46" s="1" t="s">
        <v>1452</v>
      </c>
      <c r="E46" s="1" t="s">
        <v>90</v>
      </c>
      <c r="F46" t="s">
        <v>131</v>
      </c>
      <c r="G46" s="2" t="s">
        <v>116</v>
      </c>
      <c r="H46">
        <v>32000</v>
      </c>
      <c r="I46">
        <f>ROUND(Tabla1[[#This Row],[COSTO]]/0.7,0)</f>
        <v>45714</v>
      </c>
      <c r="J46" s="3">
        <f>ROUND(Tabla1[[#This Row],[P GRAN MAYOR]]/0.8,0)</f>
        <v>57143</v>
      </c>
      <c r="K46" s="3">
        <f>ROUND(Tabla1[[#This Row],[P POR MAYOR]]/(1-0.375),0)</f>
        <v>91429</v>
      </c>
      <c r="O46" s="13" t="s">
        <v>1154</v>
      </c>
    </row>
    <row r="47" spans="4:16" ht="17" x14ac:dyDescent="0.2">
      <c r="D47" s="1" t="s">
        <v>26</v>
      </c>
      <c r="E47" s="2" t="s">
        <v>91</v>
      </c>
      <c r="F47" t="s">
        <v>134</v>
      </c>
      <c r="G47" s="1" t="s">
        <v>130</v>
      </c>
      <c r="H47">
        <v>47025</v>
      </c>
      <c r="I47">
        <f>ROUND(Tabla1[[#This Row],[COSTO]]/0.7,0)</f>
        <v>67179</v>
      </c>
      <c r="J47" s="3">
        <f>ROUND(Tabla1[[#This Row],[P GRAN MAYOR]]/0.8,0)</f>
        <v>83974</v>
      </c>
      <c r="K47" s="3">
        <f>ROUND(Tabla1[[#This Row],[P POR MAYOR]]/(1-0.375),0)</f>
        <v>134358</v>
      </c>
      <c r="O47" s="14" t="s">
        <v>1156</v>
      </c>
      <c r="P47" s="11">
        <v>14</v>
      </c>
    </row>
    <row r="48" spans="4:16" ht="45" x14ac:dyDescent="0.2">
      <c r="D48" s="1" t="s">
        <v>27</v>
      </c>
      <c r="E48" s="2" t="s">
        <v>92</v>
      </c>
      <c r="F48" t="s">
        <v>134</v>
      </c>
      <c r="G48" s="2" t="s">
        <v>135</v>
      </c>
      <c r="H48">
        <v>31160</v>
      </c>
      <c r="I48">
        <f>ROUND(Tabla1[[#This Row],[COSTO]]/0.7,0)</f>
        <v>44514</v>
      </c>
      <c r="J48" s="3">
        <f>ROUND(Tabla1[[#This Row],[P GRAN MAYOR]]/0.8,0)</f>
        <v>55643</v>
      </c>
      <c r="K48" s="3">
        <f>ROUND(Tabla1[[#This Row],[P POR MAYOR]]/(1-0.375),0)</f>
        <v>89029</v>
      </c>
      <c r="O48" s="13" t="s">
        <v>1158</v>
      </c>
      <c r="P48" s="11">
        <v>8</v>
      </c>
    </row>
    <row r="49" spans="4:16" ht="30" x14ac:dyDescent="0.2">
      <c r="D49" s="1" t="s">
        <v>28</v>
      </c>
      <c r="E49" s="1" t="s">
        <v>93</v>
      </c>
      <c r="F49" t="s">
        <v>134</v>
      </c>
      <c r="G49" s="2" t="s">
        <v>126</v>
      </c>
      <c r="H49">
        <v>41325</v>
      </c>
      <c r="I49">
        <f>ROUND(Tabla1[[#This Row],[COSTO]]/0.7,0)</f>
        <v>59036</v>
      </c>
      <c r="J49" s="3">
        <f>ROUND(Tabla1[[#This Row],[P GRAN MAYOR]]/0.8,0)</f>
        <v>73795</v>
      </c>
      <c r="K49" s="3">
        <f>ROUND(Tabla1[[#This Row],[P POR MAYOR]]/(1-0.375),0)</f>
        <v>118072</v>
      </c>
      <c r="O49" s="14" t="s">
        <v>1160</v>
      </c>
      <c r="P49" s="11">
        <v>6</v>
      </c>
    </row>
    <row r="50" spans="4:16" ht="30" x14ac:dyDescent="0.2">
      <c r="D50" s="1" t="s">
        <v>29</v>
      </c>
      <c r="E50" s="1" t="s">
        <v>94</v>
      </c>
      <c r="F50" t="s">
        <v>134</v>
      </c>
      <c r="G50" s="2" t="s">
        <v>136</v>
      </c>
      <c r="H50">
        <v>46075</v>
      </c>
      <c r="I50">
        <f>ROUND(Tabla1[[#This Row],[COSTO]]/0.7,0)</f>
        <v>65821</v>
      </c>
      <c r="J50" s="3">
        <f>ROUND(Tabla1[[#This Row],[P GRAN MAYOR]]/0.8,0)</f>
        <v>82276</v>
      </c>
      <c r="K50" s="3">
        <f>ROUND(Tabla1[[#This Row],[P POR MAYOR]]/(1-0.375),0)</f>
        <v>131642</v>
      </c>
      <c r="O50" s="13" t="s">
        <v>1154</v>
      </c>
      <c r="P50" s="11">
        <v>13</v>
      </c>
    </row>
    <row r="51" spans="4:16" ht="30" x14ac:dyDescent="0.2">
      <c r="D51" s="1" t="s">
        <v>30</v>
      </c>
      <c r="E51" s="1" t="s">
        <v>95</v>
      </c>
      <c r="F51" t="s">
        <v>134</v>
      </c>
      <c r="G51" s="2" t="s">
        <v>137</v>
      </c>
      <c r="H51">
        <v>26410</v>
      </c>
      <c r="I51">
        <f>ROUND(Tabla1[[#This Row],[COSTO]]/0.7,0)</f>
        <v>37729</v>
      </c>
      <c r="J51" s="3">
        <f>ROUND(Tabla1[[#This Row],[P GRAN MAYOR]]/0.8,0)</f>
        <v>47161</v>
      </c>
      <c r="K51" s="3">
        <f>ROUND(Tabla1[[#This Row],[P POR MAYOR]]/(1-0.375),0)</f>
        <v>75458</v>
      </c>
      <c r="O51" s="14" t="s">
        <v>1163</v>
      </c>
      <c r="P51" s="11">
        <v>9</v>
      </c>
    </row>
    <row r="52" spans="4:16" ht="30" x14ac:dyDescent="0.2">
      <c r="D52" s="1" t="s">
        <v>31</v>
      </c>
      <c r="E52" s="1" t="s">
        <v>96</v>
      </c>
      <c r="F52" t="s">
        <v>134</v>
      </c>
      <c r="G52" s="2" t="s">
        <v>138</v>
      </c>
      <c r="H52">
        <v>37525</v>
      </c>
      <c r="I52">
        <f>ROUND(Tabla1[[#This Row],[COSTO]]/0.7,0)</f>
        <v>53607</v>
      </c>
      <c r="J52" s="3">
        <f>ROUND(Tabla1[[#This Row],[P GRAN MAYOR]]/0.8,0)</f>
        <v>67009</v>
      </c>
      <c r="K52" s="3">
        <f>ROUND(Tabla1[[#This Row],[P POR MAYOR]]/(1-0.375),0)</f>
        <v>107214</v>
      </c>
      <c r="O52" s="13" t="s">
        <v>1165</v>
      </c>
      <c r="P52" s="11">
        <v>9</v>
      </c>
    </row>
    <row r="53" spans="4:16" ht="30" x14ac:dyDescent="0.2">
      <c r="D53" s="1" t="s">
        <v>32</v>
      </c>
      <c r="E53" s="1" t="s">
        <v>97</v>
      </c>
      <c r="F53" t="s">
        <v>134</v>
      </c>
      <c r="G53" s="2" t="s">
        <v>139</v>
      </c>
      <c r="H53">
        <v>37810</v>
      </c>
      <c r="I53">
        <f>ROUND(Tabla1[[#This Row],[COSTO]]/0.7,0)</f>
        <v>54014</v>
      </c>
      <c r="J53" s="3">
        <f>ROUND(Tabla1[[#This Row],[P GRAN MAYOR]]/0.8,0)</f>
        <v>67518</v>
      </c>
      <c r="K53" s="3">
        <f>ROUND(Tabla1[[#This Row],[P POR MAYOR]]/(1-0.375),0)</f>
        <v>108029</v>
      </c>
      <c r="O53" s="14" t="s">
        <v>1167</v>
      </c>
      <c r="P53" s="11">
        <v>5</v>
      </c>
    </row>
    <row r="54" spans="4:16" ht="30" x14ac:dyDescent="0.2">
      <c r="D54" s="1" t="s">
        <v>33</v>
      </c>
      <c r="E54" s="1" t="s">
        <v>98</v>
      </c>
      <c r="F54" t="s">
        <v>134</v>
      </c>
      <c r="G54" s="2" t="s">
        <v>140</v>
      </c>
      <c r="H54">
        <v>28025</v>
      </c>
      <c r="I54">
        <f>ROUND(Tabla1[[#This Row],[COSTO]]/0.7,0)</f>
        <v>40036</v>
      </c>
      <c r="J54" s="3">
        <f>ROUND(Tabla1[[#This Row],[P GRAN MAYOR]]/0.8,0)</f>
        <v>50045</v>
      </c>
      <c r="K54" s="3">
        <f>ROUND(Tabla1[[#This Row],[P POR MAYOR]]/(1-0.375),0)</f>
        <v>80072</v>
      </c>
      <c r="O54" s="13" t="s">
        <v>1169</v>
      </c>
      <c r="P54" s="11">
        <v>5</v>
      </c>
    </row>
    <row r="55" spans="4:16" ht="45" x14ac:dyDescent="0.2">
      <c r="D55" s="1" t="s">
        <v>34</v>
      </c>
      <c r="E55" s="1" t="s">
        <v>99</v>
      </c>
      <c r="F55" t="s">
        <v>134</v>
      </c>
      <c r="G55" s="2" t="s">
        <v>141</v>
      </c>
      <c r="H55">
        <v>39425</v>
      </c>
      <c r="I55">
        <f>ROUND(Tabla1[[#This Row],[COSTO]]/0.7,0)</f>
        <v>56321</v>
      </c>
      <c r="J55" s="3">
        <f>ROUND(Tabla1[[#This Row],[P GRAN MAYOR]]/0.8,0)</f>
        <v>70401</v>
      </c>
      <c r="K55" s="3">
        <f>ROUND(Tabla1[[#This Row],[P POR MAYOR]]/(1-0.375),0)</f>
        <v>112642</v>
      </c>
      <c r="O55" s="14" t="s">
        <v>1171</v>
      </c>
      <c r="P55" s="11">
        <v>11</v>
      </c>
    </row>
    <row r="56" spans="4:16" ht="45" x14ac:dyDescent="0.2">
      <c r="D56" s="1" t="s">
        <v>35</v>
      </c>
      <c r="E56" s="1" t="s">
        <v>100</v>
      </c>
      <c r="F56" t="s">
        <v>134</v>
      </c>
      <c r="G56" s="2" t="s">
        <v>122</v>
      </c>
      <c r="H56">
        <v>26125</v>
      </c>
      <c r="I56">
        <f>ROUND(Tabla1[[#This Row],[COSTO]]/0.7,0)</f>
        <v>37321</v>
      </c>
      <c r="J56" s="3">
        <f>ROUND(Tabla1[[#This Row],[P GRAN MAYOR]]/0.8,0)</f>
        <v>46651</v>
      </c>
      <c r="K56" s="3">
        <f>ROUND(Tabla1[[#This Row],[P POR MAYOR]]/(1-0.375),0)</f>
        <v>74642</v>
      </c>
      <c r="O56" s="13" t="s">
        <v>1173</v>
      </c>
      <c r="P56" s="11">
        <v>9</v>
      </c>
    </row>
    <row r="57" spans="4:16" ht="45" x14ac:dyDescent="0.2">
      <c r="D57" s="1" t="s">
        <v>36</v>
      </c>
      <c r="E57" s="1" t="s">
        <v>101</v>
      </c>
      <c r="F57" t="s">
        <v>134</v>
      </c>
      <c r="G57" s="2" t="s">
        <v>142</v>
      </c>
      <c r="H57">
        <v>35625</v>
      </c>
      <c r="I57">
        <f>ROUND(Tabla1[[#This Row],[COSTO]]/0.7,0)</f>
        <v>50893</v>
      </c>
      <c r="J57" s="3">
        <f>ROUND(Tabla1[[#This Row],[P GRAN MAYOR]]/0.8,0)</f>
        <v>63616</v>
      </c>
      <c r="K57" s="3">
        <f>ROUND(Tabla1[[#This Row],[P POR MAYOR]]/(1-0.375),0)</f>
        <v>101786</v>
      </c>
      <c r="O57" s="14" t="s">
        <v>1175</v>
      </c>
      <c r="P57" s="11">
        <v>18</v>
      </c>
    </row>
    <row r="58" spans="4:16" ht="45" x14ac:dyDescent="0.2">
      <c r="D58" s="1" t="s">
        <v>37</v>
      </c>
      <c r="E58" s="1" t="s">
        <v>102</v>
      </c>
      <c r="F58" t="s">
        <v>134</v>
      </c>
      <c r="G58" s="2" t="s">
        <v>143</v>
      </c>
      <c r="H58">
        <v>23275</v>
      </c>
      <c r="I58">
        <f>ROUND(Tabla1[[#This Row],[COSTO]]/0.7,0)</f>
        <v>33250</v>
      </c>
      <c r="J58" s="3">
        <f>ROUND(Tabla1[[#This Row],[P GRAN MAYOR]]/0.8,0)</f>
        <v>41563</v>
      </c>
      <c r="K58" s="3">
        <f>ROUND(Tabla1[[#This Row],[P POR MAYOR]]/(1-0.375),0)</f>
        <v>66501</v>
      </c>
      <c r="O58" s="13" t="s">
        <v>1177</v>
      </c>
      <c r="P58" s="11">
        <v>3</v>
      </c>
    </row>
    <row r="59" spans="4:16" ht="45" x14ac:dyDescent="0.2">
      <c r="D59" s="1" t="s">
        <v>38</v>
      </c>
      <c r="E59" s="1" t="s">
        <v>103</v>
      </c>
      <c r="F59" t="s">
        <v>134</v>
      </c>
      <c r="G59" s="2" t="s">
        <v>144</v>
      </c>
      <c r="H59">
        <v>37525</v>
      </c>
      <c r="I59">
        <f>ROUND(Tabla1[[#This Row],[COSTO]]/0.7,0)</f>
        <v>53607</v>
      </c>
      <c r="J59" s="3">
        <f>ROUND(Tabla1[[#This Row],[P GRAN MAYOR]]/0.8,0)</f>
        <v>67009</v>
      </c>
      <c r="K59" s="3">
        <f>ROUND(Tabla1[[#This Row],[P POR MAYOR]]/(1-0.375),0)</f>
        <v>107214</v>
      </c>
      <c r="O59" s="14" t="s">
        <v>1194</v>
      </c>
      <c r="P59" s="11">
        <v>2</v>
      </c>
    </row>
    <row r="60" spans="4:16" ht="45" x14ac:dyDescent="0.2">
      <c r="D60" s="1" t="s">
        <v>39</v>
      </c>
      <c r="E60" s="1" t="s">
        <v>104</v>
      </c>
      <c r="F60" t="s">
        <v>134</v>
      </c>
      <c r="G60" s="2" t="s">
        <v>123</v>
      </c>
      <c r="H60">
        <v>34010</v>
      </c>
      <c r="I60">
        <f>ROUND(Tabla1[[#This Row],[COSTO]]/0.7,0)</f>
        <v>48586</v>
      </c>
      <c r="J60" s="3">
        <f>ROUND(Tabla1[[#This Row],[P GRAN MAYOR]]/0.8,0)</f>
        <v>60733</v>
      </c>
      <c r="K60" s="3">
        <f>ROUND(Tabla1[[#This Row],[P POR MAYOR]]/(1-0.375),0)</f>
        <v>97173</v>
      </c>
      <c r="O60" s="13" t="s">
        <v>1196</v>
      </c>
    </row>
    <row r="61" spans="4:16" ht="45" x14ac:dyDescent="0.2">
      <c r="D61" s="1" t="s">
        <v>40</v>
      </c>
      <c r="E61" s="1" t="s">
        <v>105</v>
      </c>
      <c r="F61" t="s">
        <v>134</v>
      </c>
      <c r="G61" s="2" t="s">
        <v>145</v>
      </c>
      <c r="H61">
        <v>37525</v>
      </c>
      <c r="I61">
        <f>ROUND(Tabla1[[#This Row],[COSTO]]/0.7,0)</f>
        <v>53607</v>
      </c>
      <c r="J61" s="3">
        <f>ROUND(Tabla1[[#This Row],[P GRAN MAYOR]]/0.8,0)</f>
        <v>67009</v>
      </c>
      <c r="K61" s="3">
        <f>ROUND(Tabla1[[#This Row],[P POR MAYOR]]/(1-0.375),0)</f>
        <v>107214</v>
      </c>
      <c r="O61" s="14" t="s">
        <v>1198</v>
      </c>
      <c r="P61" s="11">
        <v>2</v>
      </c>
    </row>
    <row r="62" spans="4:16" ht="45" x14ac:dyDescent="0.2">
      <c r="D62" s="1" t="s">
        <v>41</v>
      </c>
      <c r="E62" s="1" t="s">
        <v>106</v>
      </c>
      <c r="F62" t="s">
        <v>131</v>
      </c>
      <c r="G62" s="2" t="s">
        <v>116</v>
      </c>
      <c r="H62">
        <v>32000</v>
      </c>
      <c r="I62">
        <f>ROUND(Tabla1[[#This Row],[COSTO]]/0.7,0)</f>
        <v>45714</v>
      </c>
      <c r="J62" s="3">
        <f>ROUND(Tabla1[[#This Row],[P GRAN MAYOR]]/0.8,0)</f>
        <v>57143</v>
      </c>
      <c r="K62" s="3">
        <f>ROUND(Tabla1[[#This Row],[P POR MAYOR]]/(1-0.375),0)</f>
        <v>91429</v>
      </c>
      <c r="O62" s="13" t="s">
        <v>1199</v>
      </c>
      <c r="P62" s="11">
        <v>1</v>
      </c>
    </row>
    <row r="63" spans="4:16" ht="45" x14ac:dyDescent="0.2">
      <c r="D63" s="1" t="s">
        <v>42</v>
      </c>
      <c r="E63" s="1" t="s">
        <v>107</v>
      </c>
      <c r="F63" t="s">
        <v>131</v>
      </c>
      <c r="G63" s="2" t="s">
        <v>116</v>
      </c>
      <c r="H63">
        <v>32000</v>
      </c>
      <c r="I63">
        <f>ROUND(Tabla1[[#This Row],[COSTO]]/0.7,0)</f>
        <v>45714</v>
      </c>
      <c r="J63" s="3">
        <f>ROUND(Tabla1[[#This Row],[P GRAN MAYOR]]/0.8,0)</f>
        <v>57143</v>
      </c>
      <c r="K63" s="3">
        <f>ROUND(Tabla1[[#This Row],[P POR MAYOR]]/(1-0.375),0)</f>
        <v>91429</v>
      </c>
      <c r="O63" s="14" t="s">
        <v>1202</v>
      </c>
      <c r="P63" s="11">
        <v>0</v>
      </c>
    </row>
    <row r="64" spans="4:16" ht="45" x14ac:dyDescent="0.2">
      <c r="D64" s="1" t="s">
        <v>1442</v>
      </c>
      <c r="E64" s="1" t="s">
        <v>108</v>
      </c>
      <c r="F64" t="s">
        <v>131</v>
      </c>
      <c r="G64" s="2" t="s">
        <v>116</v>
      </c>
      <c r="H64">
        <v>32000</v>
      </c>
      <c r="I64">
        <f>ROUND(Tabla1[[#This Row],[COSTO]]/0.7,0)</f>
        <v>45714</v>
      </c>
      <c r="J64" s="3">
        <f>ROUND(Tabla1[[#This Row],[P GRAN MAYOR]]/0.8,0)</f>
        <v>57143</v>
      </c>
      <c r="K64" s="3">
        <f>ROUND(Tabla1[[#This Row],[P POR MAYOR]]/(1-0.375),0)</f>
        <v>91429</v>
      </c>
      <c r="O64" s="13" t="s">
        <v>1204</v>
      </c>
      <c r="P64" s="11">
        <v>2</v>
      </c>
    </row>
    <row r="65" spans="4:16" ht="45" x14ac:dyDescent="0.2">
      <c r="D65" s="1" t="s">
        <v>43</v>
      </c>
      <c r="E65" s="1" t="s">
        <v>109</v>
      </c>
      <c r="F65" t="s">
        <v>131</v>
      </c>
      <c r="G65" s="2" t="s">
        <v>116</v>
      </c>
      <c r="H65">
        <v>32000</v>
      </c>
      <c r="I65">
        <f>ROUND(Tabla1[[#This Row],[COSTO]]/0.7,0)</f>
        <v>45714</v>
      </c>
      <c r="J65" s="3">
        <f>ROUND(Tabla1[[#This Row],[P GRAN MAYOR]]/0.8,0)</f>
        <v>57143</v>
      </c>
      <c r="K65" s="3">
        <f>ROUND(Tabla1[[#This Row],[P POR MAYOR]]/(1-0.375),0)</f>
        <v>91429</v>
      </c>
      <c r="O65" s="14" t="s">
        <v>1206</v>
      </c>
      <c r="P65" s="11">
        <v>2</v>
      </c>
    </row>
    <row r="66" spans="4:16" ht="45" x14ac:dyDescent="0.2">
      <c r="D66" s="1" t="s">
        <v>44</v>
      </c>
      <c r="E66" s="1" t="s">
        <v>110</v>
      </c>
      <c r="F66" t="s">
        <v>131</v>
      </c>
      <c r="G66" s="2" t="s">
        <v>116</v>
      </c>
      <c r="H66">
        <v>32000</v>
      </c>
      <c r="I66">
        <f>ROUND(Tabla1[[#This Row],[COSTO]]/0.7,0)</f>
        <v>45714</v>
      </c>
      <c r="J66" s="3">
        <f>ROUND(Tabla1[[#This Row],[P GRAN MAYOR]]/0.8,0)</f>
        <v>57143</v>
      </c>
      <c r="K66" s="3">
        <f>ROUND(Tabla1[[#This Row],[P POR MAYOR]]/(1-0.375),0)</f>
        <v>91429</v>
      </c>
      <c r="O66" s="15" t="s">
        <v>1208</v>
      </c>
      <c r="P66" s="11">
        <v>1</v>
      </c>
    </row>
    <row r="67" spans="4:16" ht="45" x14ac:dyDescent="0.2">
      <c r="D67" s="1" t="s">
        <v>45</v>
      </c>
      <c r="E67" s="1" t="s">
        <v>111</v>
      </c>
      <c r="F67" t="s">
        <v>131</v>
      </c>
      <c r="G67" s="1"/>
      <c r="H67">
        <v>32000</v>
      </c>
      <c r="I67">
        <f>ROUND(Tabla1[[#This Row],[COSTO]]/0.7,0)</f>
        <v>45714</v>
      </c>
      <c r="J67" s="3">
        <f>ROUND(Tabla1[[#This Row],[P GRAN MAYOR]]/0.8,0)</f>
        <v>57143</v>
      </c>
      <c r="K67" s="3">
        <f>ROUND(Tabla1[[#This Row],[P POR MAYOR]]/(1-0.375),0)</f>
        <v>91429</v>
      </c>
      <c r="O67" s="16" t="s">
        <v>1210</v>
      </c>
      <c r="P67" s="11">
        <v>1</v>
      </c>
    </row>
    <row r="68" spans="4:16" ht="45" x14ac:dyDescent="0.2">
      <c r="D68" s="1" t="s">
        <v>46</v>
      </c>
      <c r="E68" s="1" t="s">
        <v>112</v>
      </c>
      <c r="F68" t="s">
        <v>131</v>
      </c>
      <c r="G68" s="1"/>
      <c r="H68">
        <v>32000</v>
      </c>
      <c r="I68">
        <f>ROUND(Tabla1[[#This Row],[COSTO]]/0.7,0)</f>
        <v>45714</v>
      </c>
      <c r="J68" s="3">
        <f>ROUND(Tabla1[[#This Row],[P GRAN MAYOR]]/0.8,0)</f>
        <v>57143</v>
      </c>
      <c r="K68" s="3">
        <f>ROUND(Tabla1[[#This Row],[P POR MAYOR]]/(1-0.375),0)</f>
        <v>91429</v>
      </c>
      <c r="O68" s="15" t="s">
        <v>1211</v>
      </c>
      <c r="P68" s="11">
        <v>1</v>
      </c>
    </row>
    <row r="69" spans="4:16" ht="45" x14ac:dyDescent="0.2">
      <c r="D69" s="1" t="s">
        <v>47</v>
      </c>
      <c r="E69" s="1" t="s">
        <v>113</v>
      </c>
      <c r="F69" t="s">
        <v>131</v>
      </c>
      <c r="G69" s="1"/>
      <c r="H69">
        <v>32000</v>
      </c>
      <c r="I69">
        <f>ROUND(Tabla1[[#This Row],[COSTO]]/0.7,0)</f>
        <v>45714</v>
      </c>
      <c r="J69" s="3">
        <f>ROUND(Tabla1[[#This Row],[P GRAN MAYOR]]/0.8,0)</f>
        <v>57143</v>
      </c>
      <c r="K69" s="3">
        <f>ROUND(Tabla1[[#This Row],[P POR MAYOR]]/(1-0.375),0)</f>
        <v>91429</v>
      </c>
      <c r="O69" s="14" t="s">
        <v>1213</v>
      </c>
      <c r="P69" s="11">
        <v>11</v>
      </c>
    </row>
    <row r="70" spans="4:16" ht="45" x14ac:dyDescent="0.2">
      <c r="D70" s="1" t="s">
        <v>48</v>
      </c>
      <c r="E70" s="1" t="s">
        <v>114</v>
      </c>
      <c r="F70" t="s">
        <v>131</v>
      </c>
      <c r="G70" s="1"/>
      <c r="H70">
        <v>32000</v>
      </c>
      <c r="I70">
        <f>ROUND(Tabla1[[#This Row],[COSTO]]/0.7,0)</f>
        <v>45714</v>
      </c>
      <c r="J70" s="3">
        <f>ROUND(Tabla1[[#This Row],[P GRAN MAYOR]]/0.8,0)</f>
        <v>57143</v>
      </c>
      <c r="K70" s="3">
        <f>ROUND(Tabla1[[#This Row],[P POR MAYOR]]/(1-0.375),0)</f>
        <v>91429</v>
      </c>
      <c r="O70" s="13" t="s">
        <v>1216</v>
      </c>
      <c r="P70" s="11">
        <v>1</v>
      </c>
    </row>
    <row r="71" spans="4:16" ht="45" x14ac:dyDescent="0.2">
      <c r="D71" s="1" t="s">
        <v>49</v>
      </c>
      <c r="E71" s="1" t="s">
        <v>115</v>
      </c>
      <c r="F71" t="s">
        <v>131</v>
      </c>
      <c r="G71" s="1"/>
      <c r="H71">
        <v>32000</v>
      </c>
      <c r="I71">
        <f>ROUND(Tabla1[[#This Row],[COSTO]]/0.7,0)</f>
        <v>45714</v>
      </c>
      <c r="J71" s="3">
        <f>ROUND(Tabla1[[#This Row],[P GRAN MAYOR]]/0.8,0)</f>
        <v>57143</v>
      </c>
      <c r="K71" s="3">
        <f>ROUND(Tabla1[[#This Row],[P POR MAYOR]]/(1-0.375),0)</f>
        <v>91429</v>
      </c>
      <c r="O71" s="16" t="s">
        <v>1218</v>
      </c>
    </row>
    <row r="72" spans="4:16" ht="45" x14ac:dyDescent="0.2">
      <c r="D72" s="1" t="s">
        <v>1453</v>
      </c>
      <c r="E72" s="1" t="s">
        <v>1138</v>
      </c>
      <c r="F72" t="s">
        <v>131</v>
      </c>
      <c r="G72" s="1"/>
      <c r="H72">
        <v>32000</v>
      </c>
      <c r="I72">
        <f>ROUND(Tabla1[[#This Row],[COSTO]]/0.7,0)</f>
        <v>45714</v>
      </c>
      <c r="J72" s="3">
        <f>ROUND(Tabla1[[#This Row],[P GRAN MAYOR]]/0.8,0)</f>
        <v>57143</v>
      </c>
      <c r="K72" s="3">
        <f>ROUND(Tabla1[[#This Row],[P POR MAYOR]]/(1-0.375),0)</f>
        <v>91429</v>
      </c>
      <c r="O72" s="15" t="s">
        <v>1220</v>
      </c>
      <c r="P72" s="11">
        <v>1</v>
      </c>
    </row>
    <row r="73" spans="4:16" ht="45" x14ac:dyDescent="0.2">
      <c r="D73" s="1" t="s">
        <v>1454</v>
      </c>
      <c r="E73" s="1" t="s">
        <v>1139</v>
      </c>
      <c r="F73" t="s">
        <v>131</v>
      </c>
      <c r="G73" s="1"/>
      <c r="H73">
        <v>32000</v>
      </c>
      <c r="I73">
        <f>ROUND(Tabla1[[#This Row],[COSTO]]/0.7,0)</f>
        <v>45714</v>
      </c>
      <c r="J73" s="3">
        <f>ROUND(Tabla1[[#This Row],[P GRAN MAYOR]]/0.8,0)</f>
        <v>57143</v>
      </c>
      <c r="K73" s="3">
        <f>ROUND(Tabla1[[#This Row],[P POR MAYOR]]/(1-0.375),0)</f>
        <v>91429</v>
      </c>
      <c r="O73" s="16" t="s">
        <v>1222</v>
      </c>
    </row>
    <row r="74" spans="4:16" ht="45" x14ac:dyDescent="0.2">
      <c r="D74" s="1" t="s">
        <v>1455</v>
      </c>
      <c r="E74" s="1" t="s">
        <v>1140</v>
      </c>
      <c r="F74" t="s">
        <v>131</v>
      </c>
      <c r="G74" s="1"/>
      <c r="H74">
        <v>32000</v>
      </c>
      <c r="I74">
        <f>ROUND(Tabla1[[#This Row],[COSTO]]/0.7,0)</f>
        <v>45714</v>
      </c>
      <c r="J74" s="3">
        <f>ROUND(Tabla1[[#This Row],[P GRAN MAYOR]]/0.8,0)</f>
        <v>57143</v>
      </c>
      <c r="K74" s="3">
        <f>ROUND(Tabla1[[#This Row],[P POR MAYOR]]/(1-0.375),0)</f>
        <v>91429</v>
      </c>
      <c r="O74" s="15" t="s">
        <v>1224</v>
      </c>
    </row>
    <row r="75" spans="4:16" ht="45" x14ac:dyDescent="0.2">
      <c r="D75" s="1" t="s">
        <v>1141</v>
      </c>
      <c r="E75" s="1" t="s">
        <v>1142</v>
      </c>
      <c r="F75" t="s">
        <v>131</v>
      </c>
      <c r="G75" s="1"/>
      <c r="H75">
        <v>32000</v>
      </c>
      <c r="I75">
        <f>ROUND(Tabla1[[#This Row],[COSTO]]/0.7,0)</f>
        <v>45714</v>
      </c>
      <c r="J75" s="3">
        <f>ROUND(Tabla1[[#This Row],[P GRAN MAYOR]]/0.8,0)</f>
        <v>57143</v>
      </c>
      <c r="K75" s="3">
        <f>ROUND(Tabla1[[#This Row],[P POR MAYOR]]/(1-0.375),0)</f>
        <v>91429</v>
      </c>
      <c r="O75" s="16" t="s">
        <v>1226</v>
      </c>
      <c r="P75" s="11">
        <v>1</v>
      </c>
    </row>
    <row r="76" spans="4:16" ht="60" x14ac:dyDescent="0.2">
      <c r="D76" s="1" t="s">
        <v>1143</v>
      </c>
      <c r="E76" s="1" t="s">
        <v>1144</v>
      </c>
      <c r="F76" t="s">
        <v>131</v>
      </c>
      <c r="G76" s="1"/>
      <c r="H76">
        <v>32000</v>
      </c>
      <c r="I76">
        <f>ROUND(Tabla1[[#This Row],[COSTO]]/0.7,0)</f>
        <v>45714</v>
      </c>
      <c r="J76" s="3">
        <f>ROUND(Tabla1[[#This Row],[P GRAN MAYOR]]/0.8,0)</f>
        <v>57143</v>
      </c>
      <c r="K76" s="3">
        <f>ROUND(Tabla1[[#This Row],[P POR MAYOR]]/(1-0.375),0)</f>
        <v>91429</v>
      </c>
      <c r="O76" s="15" t="s">
        <v>1240</v>
      </c>
    </row>
    <row r="77" spans="4:16" ht="45" x14ac:dyDescent="0.2">
      <c r="D77" s="1" t="s">
        <v>1145</v>
      </c>
      <c r="E77" s="1" t="s">
        <v>1146</v>
      </c>
      <c r="F77" t="s">
        <v>131</v>
      </c>
      <c r="G77" s="1"/>
      <c r="H77">
        <v>32000</v>
      </c>
      <c r="I77">
        <f>ROUND(Tabla1[[#This Row],[COSTO]]/0.7,0)</f>
        <v>45714</v>
      </c>
      <c r="J77" s="3">
        <f>ROUND(Tabla1[[#This Row],[P GRAN MAYOR]]/0.8,0)</f>
        <v>57143</v>
      </c>
      <c r="K77" s="3">
        <f>ROUND(Tabla1[[#This Row],[P POR MAYOR]]/(1-0.375),0)</f>
        <v>91429</v>
      </c>
      <c r="O77" s="16" t="s">
        <v>1232</v>
      </c>
    </row>
    <row r="78" spans="4:16" ht="45" x14ac:dyDescent="0.2">
      <c r="D78" s="1" t="s">
        <v>1147</v>
      </c>
      <c r="E78" s="1" t="s">
        <v>1148</v>
      </c>
      <c r="F78" t="s">
        <v>131</v>
      </c>
      <c r="G78" s="1"/>
      <c r="H78">
        <v>32000</v>
      </c>
      <c r="I78">
        <f>ROUND(Tabla1[[#This Row],[COSTO]]/0.7,0)</f>
        <v>45714</v>
      </c>
      <c r="J78" s="3">
        <f>ROUND(Tabla1[[#This Row],[P GRAN MAYOR]]/0.8,0)</f>
        <v>57143</v>
      </c>
      <c r="K78" s="3">
        <f>ROUND(Tabla1[[#This Row],[P POR MAYOR]]/(1-0.375),0)</f>
        <v>91429</v>
      </c>
      <c r="O78" s="15" t="s">
        <v>1233</v>
      </c>
      <c r="P78" s="11">
        <v>1</v>
      </c>
    </row>
    <row r="79" spans="4:16" ht="45" x14ac:dyDescent="0.2">
      <c r="D79" s="1" t="s">
        <v>1149</v>
      </c>
      <c r="E79" s="1" t="s">
        <v>1150</v>
      </c>
      <c r="F79" t="s">
        <v>131</v>
      </c>
      <c r="G79" s="1"/>
      <c r="H79">
        <v>32000</v>
      </c>
      <c r="I79">
        <f>ROUND(Tabla1[[#This Row],[COSTO]]/0.7,0)</f>
        <v>45714</v>
      </c>
      <c r="J79" s="3">
        <f>ROUND(Tabla1[[#This Row],[P GRAN MAYOR]]/0.8,0)</f>
        <v>57143</v>
      </c>
      <c r="K79" s="3">
        <f>ROUND(Tabla1[[#This Row],[P POR MAYOR]]/(1-0.375),0)</f>
        <v>91429</v>
      </c>
      <c r="O79" s="16" t="s">
        <v>1234</v>
      </c>
      <c r="P79" s="11">
        <v>1</v>
      </c>
    </row>
    <row r="80" spans="4:16" ht="45" x14ac:dyDescent="0.2">
      <c r="D80" s="1" t="s">
        <v>1151</v>
      </c>
      <c r="E80" s="1" t="s">
        <v>1152</v>
      </c>
      <c r="F80" t="s">
        <v>131</v>
      </c>
      <c r="G80" s="1"/>
      <c r="H80">
        <v>32000</v>
      </c>
      <c r="I80">
        <f>ROUND(Tabla1[[#This Row],[COSTO]]/0.7,0)</f>
        <v>45714</v>
      </c>
      <c r="J80" s="3">
        <f>ROUND(Tabla1[[#This Row],[P GRAN MAYOR]]/0.8,0)</f>
        <v>57143</v>
      </c>
      <c r="K80" s="3">
        <f>ROUND(Tabla1[[#This Row],[P POR MAYOR]]/(1-0.375),0)</f>
        <v>91429</v>
      </c>
      <c r="O80" s="15" t="s">
        <v>1235</v>
      </c>
      <c r="P80" s="11">
        <v>1</v>
      </c>
    </row>
    <row r="81" spans="4:16" ht="45" x14ac:dyDescent="0.2">
      <c r="D81" s="1" t="s">
        <v>1153</v>
      </c>
      <c r="E81" s="1" t="s">
        <v>1154</v>
      </c>
      <c r="F81" t="s">
        <v>131</v>
      </c>
      <c r="G81" s="1"/>
      <c r="H81">
        <v>32000</v>
      </c>
      <c r="I81">
        <f>ROUND(Tabla1[[#This Row],[COSTO]]/0.7,0)</f>
        <v>45714</v>
      </c>
      <c r="J81" s="3">
        <f>ROUND(Tabla1[[#This Row],[P GRAN MAYOR]]/0.8,0)</f>
        <v>57143</v>
      </c>
      <c r="K81" s="3">
        <f>ROUND(Tabla1[[#This Row],[P POR MAYOR]]/(1-0.375),0)</f>
        <v>91429</v>
      </c>
      <c r="O81" s="16" t="s">
        <v>1236</v>
      </c>
      <c r="P81" s="11">
        <v>1</v>
      </c>
    </row>
    <row r="82" spans="4:16" ht="60" x14ac:dyDescent="0.2">
      <c r="D82" s="1" t="s">
        <v>1155</v>
      </c>
      <c r="E82" s="1" t="s">
        <v>1156</v>
      </c>
      <c r="F82" t="s">
        <v>131</v>
      </c>
      <c r="G82" s="1"/>
      <c r="H82">
        <v>32000</v>
      </c>
      <c r="I82">
        <f>ROUND(Tabla1[[#This Row],[COSTO]]/0.7,0)</f>
        <v>45714</v>
      </c>
      <c r="J82" s="3">
        <f>ROUND(Tabla1[[#This Row],[P GRAN MAYOR]]/0.8,0)</f>
        <v>57143</v>
      </c>
      <c r="K82" s="3">
        <f>ROUND(Tabla1[[#This Row],[P POR MAYOR]]/(1-0.375),0)</f>
        <v>91429</v>
      </c>
      <c r="O82" s="15" t="s">
        <v>1238</v>
      </c>
      <c r="P82" s="11">
        <v>2</v>
      </c>
    </row>
    <row r="83" spans="4:16" ht="45" x14ac:dyDescent="0.2">
      <c r="D83" s="1" t="s">
        <v>1157</v>
      </c>
      <c r="E83" s="1" t="s">
        <v>1158</v>
      </c>
      <c r="F83" t="s">
        <v>131</v>
      </c>
      <c r="G83" s="1"/>
      <c r="H83">
        <v>32000</v>
      </c>
      <c r="I83">
        <f>ROUND(Tabla1[[#This Row],[COSTO]]/0.7,0)</f>
        <v>45714</v>
      </c>
      <c r="J83" s="3">
        <f>ROUND(Tabla1[[#This Row],[P GRAN MAYOR]]/0.8,0)</f>
        <v>57143</v>
      </c>
      <c r="K83" s="3">
        <f>ROUND(Tabla1[[#This Row],[P POR MAYOR]]/(1-0.375),0)</f>
        <v>91429</v>
      </c>
      <c r="O83" s="14" t="s">
        <v>1278</v>
      </c>
      <c r="P83" s="11">
        <v>2</v>
      </c>
    </row>
    <row r="84" spans="4:16" ht="30" x14ac:dyDescent="0.2">
      <c r="D84" s="1" t="s">
        <v>1159</v>
      </c>
      <c r="E84" s="1" t="s">
        <v>1160</v>
      </c>
      <c r="F84" t="s">
        <v>131</v>
      </c>
      <c r="G84" s="1"/>
      <c r="H84">
        <v>32000</v>
      </c>
      <c r="I84">
        <f>ROUND(Tabla1[[#This Row],[COSTO]]/0.7,0)</f>
        <v>45714</v>
      </c>
      <c r="J84" s="3">
        <f>ROUND(Tabla1[[#This Row],[P GRAN MAYOR]]/0.8,0)</f>
        <v>57143</v>
      </c>
      <c r="K84" s="3">
        <f>ROUND(Tabla1[[#This Row],[P POR MAYOR]]/(1-0.375),0)</f>
        <v>91429</v>
      </c>
      <c r="O84" s="13" t="s">
        <v>1280</v>
      </c>
      <c r="P84" s="11">
        <v>16</v>
      </c>
    </row>
    <row r="85" spans="4:16" x14ac:dyDescent="0.2">
      <c r="D85" s="1" t="s">
        <v>1161</v>
      </c>
      <c r="E85" s="1" t="s">
        <v>1154</v>
      </c>
      <c r="F85" t="s">
        <v>131</v>
      </c>
      <c r="G85" s="1"/>
      <c r="H85">
        <v>32000</v>
      </c>
      <c r="I85">
        <f>ROUND(Tabla1[[#This Row],[COSTO]]/0.7,0)</f>
        <v>45714</v>
      </c>
      <c r="J85" s="3">
        <f>ROUND(Tabla1[[#This Row],[P GRAN MAYOR]]/0.8,0)</f>
        <v>57143</v>
      </c>
      <c r="K85" s="3">
        <f>ROUND(Tabla1[[#This Row],[P POR MAYOR]]/(1-0.375),0)</f>
        <v>91429</v>
      </c>
    </row>
    <row r="86" spans="4:16" x14ac:dyDescent="0.2">
      <c r="D86" s="1" t="s">
        <v>1162</v>
      </c>
      <c r="E86" s="1" t="s">
        <v>1163</v>
      </c>
      <c r="F86" t="s">
        <v>131</v>
      </c>
      <c r="G86" s="1"/>
      <c r="H86">
        <v>32000</v>
      </c>
      <c r="I86">
        <f>ROUND(Tabla1[[#This Row],[COSTO]]/0.7,0)</f>
        <v>45714</v>
      </c>
      <c r="J86" s="3">
        <f>ROUND(Tabla1[[#This Row],[P GRAN MAYOR]]/0.8,0)</f>
        <v>57143</v>
      </c>
      <c r="K86" s="3">
        <f>ROUND(Tabla1[[#This Row],[P POR MAYOR]]/(1-0.375),0)</f>
        <v>91429</v>
      </c>
    </row>
    <row r="87" spans="4:16" x14ac:dyDescent="0.2">
      <c r="D87" s="1" t="s">
        <v>1164</v>
      </c>
      <c r="E87" s="1" t="s">
        <v>1165</v>
      </c>
      <c r="F87" t="s">
        <v>131</v>
      </c>
      <c r="G87" s="1"/>
      <c r="H87">
        <v>32000</v>
      </c>
      <c r="I87">
        <f>ROUND(Tabla1[[#This Row],[COSTO]]/0.7,0)</f>
        <v>45714</v>
      </c>
      <c r="J87" s="3">
        <f>ROUND(Tabla1[[#This Row],[P GRAN MAYOR]]/0.8,0)</f>
        <v>57143</v>
      </c>
      <c r="K87" s="3">
        <f>ROUND(Tabla1[[#This Row],[P POR MAYOR]]/(1-0.375),0)</f>
        <v>91429</v>
      </c>
      <c r="P87" s="11">
        <f>SUM(Tabla13[CANTIDAD])</f>
        <v>412</v>
      </c>
    </row>
    <row r="88" spans="4:16" x14ac:dyDescent="0.2">
      <c r="D88" s="1" t="s">
        <v>1166</v>
      </c>
      <c r="E88" s="1" t="s">
        <v>1167</v>
      </c>
      <c r="F88" t="s">
        <v>131</v>
      </c>
      <c r="G88" s="1"/>
      <c r="H88">
        <v>32000</v>
      </c>
      <c r="I88">
        <f>ROUND(Tabla1[[#This Row],[COSTO]]/0.7,0)</f>
        <v>45714</v>
      </c>
      <c r="J88" s="3">
        <f>ROUND(Tabla1[[#This Row],[P GRAN MAYOR]]/0.8,0)</f>
        <v>57143</v>
      </c>
      <c r="K88" s="3">
        <f>ROUND(Tabla1[[#This Row],[P POR MAYOR]]/(1-0.375),0)</f>
        <v>91429</v>
      </c>
    </row>
    <row r="89" spans="4:16" x14ac:dyDescent="0.2">
      <c r="D89" s="1" t="s">
        <v>1168</v>
      </c>
      <c r="E89" s="1" t="s">
        <v>1169</v>
      </c>
      <c r="F89" t="s">
        <v>131</v>
      </c>
      <c r="G89" s="1"/>
      <c r="H89">
        <v>32000</v>
      </c>
      <c r="I89">
        <f>ROUND(Tabla1[[#This Row],[COSTO]]/0.7,0)</f>
        <v>45714</v>
      </c>
      <c r="J89" s="3">
        <f>ROUND(Tabla1[[#This Row],[P GRAN MAYOR]]/0.8,0)</f>
        <v>57143</v>
      </c>
      <c r="K89" s="3">
        <f>ROUND(Tabla1[[#This Row],[P POR MAYOR]]/(1-0.375),0)</f>
        <v>91429</v>
      </c>
    </row>
    <row r="90" spans="4:16" x14ac:dyDescent="0.2">
      <c r="D90" s="1" t="s">
        <v>1170</v>
      </c>
      <c r="E90" s="1" t="s">
        <v>1171</v>
      </c>
      <c r="F90" t="s">
        <v>131</v>
      </c>
      <c r="G90" s="1"/>
      <c r="H90">
        <v>32000</v>
      </c>
      <c r="I90">
        <f>ROUND(Tabla1[[#This Row],[COSTO]]/0.7,0)</f>
        <v>45714</v>
      </c>
      <c r="J90" s="3">
        <f>ROUND(Tabla1[[#This Row],[P GRAN MAYOR]]/0.8,0)</f>
        <v>57143</v>
      </c>
      <c r="K90" s="3">
        <f>ROUND(Tabla1[[#This Row],[P POR MAYOR]]/(1-0.375),0)</f>
        <v>91429</v>
      </c>
    </row>
    <row r="91" spans="4:16" x14ac:dyDescent="0.2">
      <c r="D91" s="1" t="s">
        <v>1172</v>
      </c>
      <c r="E91" s="1" t="s">
        <v>1173</v>
      </c>
      <c r="F91" t="s">
        <v>131</v>
      </c>
      <c r="G91" s="1"/>
      <c r="H91">
        <v>32000</v>
      </c>
      <c r="I91">
        <f>ROUND(Tabla1[[#This Row],[COSTO]]/0.7,0)</f>
        <v>45714</v>
      </c>
      <c r="J91" s="3">
        <f>ROUND(Tabla1[[#This Row],[P GRAN MAYOR]]/0.8,0)</f>
        <v>57143</v>
      </c>
      <c r="K91" s="3">
        <f>ROUND(Tabla1[[#This Row],[P POR MAYOR]]/(1-0.375),0)</f>
        <v>91429</v>
      </c>
    </row>
    <row r="92" spans="4:16" x14ac:dyDescent="0.2">
      <c r="D92" s="1" t="s">
        <v>1174</v>
      </c>
      <c r="E92" s="1" t="s">
        <v>1175</v>
      </c>
      <c r="F92" t="s">
        <v>131</v>
      </c>
      <c r="G92" s="1"/>
      <c r="H92">
        <v>32000</v>
      </c>
      <c r="I92">
        <f>ROUND(Tabla1[[#This Row],[COSTO]]/0.7,0)</f>
        <v>45714</v>
      </c>
      <c r="J92" s="3">
        <f>ROUND(Tabla1[[#This Row],[P GRAN MAYOR]]/0.8,0)</f>
        <v>57143</v>
      </c>
      <c r="K92" s="3">
        <f>ROUND(Tabla1[[#This Row],[P POR MAYOR]]/(1-0.375),0)</f>
        <v>91429</v>
      </c>
    </row>
    <row r="93" spans="4:16" x14ac:dyDescent="0.2">
      <c r="D93" s="1" t="s">
        <v>1176</v>
      </c>
      <c r="E93" s="1" t="s">
        <v>1177</v>
      </c>
      <c r="F93" t="s">
        <v>131</v>
      </c>
      <c r="G93" s="1"/>
      <c r="H93">
        <v>32000</v>
      </c>
      <c r="I93">
        <f>ROUND(Tabla1[[#This Row],[COSTO]]/0.7,0)</f>
        <v>45714</v>
      </c>
      <c r="J93" s="3">
        <f>ROUND(Tabla1[[#This Row],[P GRAN MAYOR]]/0.8,0)</f>
        <v>57143</v>
      </c>
      <c r="K93" s="3">
        <f>ROUND(Tabla1[[#This Row],[P POR MAYOR]]/(1-0.375),0)</f>
        <v>91429</v>
      </c>
    </row>
    <row r="94" spans="4:16" x14ac:dyDescent="0.2">
      <c r="D94" s="1" t="s">
        <v>1193</v>
      </c>
      <c r="E94" s="1" t="s">
        <v>1194</v>
      </c>
      <c r="F94" t="s">
        <v>131</v>
      </c>
      <c r="G94" s="1"/>
      <c r="H94">
        <v>32000</v>
      </c>
      <c r="I94">
        <f>ROUND(Tabla1[[#This Row],[COSTO]]/0.7,0)</f>
        <v>45714</v>
      </c>
      <c r="J94" s="3">
        <f>ROUND(Tabla1[[#This Row],[P GRAN MAYOR]]/0.8,0)</f>
        <v>57143</v>
      </c>
      <c r="K94" s="3">
        <f>ROUND(Tabla1[[#This Row],[P POR MAYOR]]/(1-0.375),0)</f>
        <v>91429</v>
      </c>
    </row>
    <row r="95" spans="4:16" x14ac:dyDescent="0.2">
      <c r="D95" s="1" t="s">
        <v>1195</v>
      </c>
      <c r="E95" s="1" t="s">
        <v>1196</v>
      </c>
      <c r="F95" t="s">
        <v>131</v>
      </c>
      <c r="G95" s="1"/>
      <c r="H95">
        <v>32000</v>
      </c>
      <c r="I95">
        <f>ROUND(Tabla1[[#This Row],[COSTO]]/0.7,0)</f>
        <v>45714</v>
      </c>
      <c r="J95" s="3">
        <f>ROUND(Tabla1[[#This Row],[P GRAN MAYOR]]/0.8,0)</f>
        <v>57143</v>
      </c>
      <c r="K95" s="3">
        <f>ROUND(Tabla1[[#This Row],[P POR MAYOR]]/(1-0.375),0)</f>
        <v>91429</v>
      </c>
    </row>
    <row r="96" spans="4:16" x14ac:dyDescent="0.2">
      <c r="D96" s="1" t="s">
        <v>1197</v>
      </c>
      <c r="E96" s="1" t="s">
        <v>1198</v>
      </c>
      <c r="F96" t="s">
        <v>131</v>
      </c>
      <c r="G96" s="1"/>
      <c r="H96">
        <v>32000</v>
      </c>
      <c r="I96">
        <f>ROUND(Tabla1[[#This Row],[COSTO]]/0.7,0)</f>
        <v>45714</v>
      </c>
      <c r="J96" s="3">
        <f>ROUND(Tabla1[[#This Row],[P GRAN MAYOR]]/0.8,0)</f>
        <v>57143</v>
      </c>
      <c r="K96" s="3">
        <f>ROUND(Tabla1[[#This Row],[P POR MAYOR]]/(1-0.375),0)</f>
        <v>91429</v>
      </c>
    </row>
    <row r="97" spans="4:11" x14ac:dyDescent="0.2">
      <c r="D97" s="1" t="s">
        <v>1200</v>
      </c>
      <c r="E97" s="1" t="s">
        <v>1199</v>
      </c>
      <c r="F97" t="s">
        <v>131</v>
      </c>
      <c r="G97" s="1"/>
      <c r="H97">
        <v>32000</v>
      </c>
      <c r="I97">
        <f>ROUND(Tabla1[[#This Row],[COSTO]]/0.7,0)</f>
        <v>45714</v>
      </c>
      <c r="J97" s="3">
        <f>ROUND(Tabla1[[#This Row],[P GRAN MAYOR]]/0.8,0)</f>
        <v>57143</v>
      </c>
      <c r="K97" s="3">
        <f>ROUND(Tabla1[[#This Row],[P POR MAYOR]]/(1-0.375),0)</f>
        <v>91429</v>
      </c>
    </row>
    <row r="98" spans="4:11" x14ac:dyDescent="0.2">
      <c r="D98" s="1" t="s">
        <v>1201</v>
      </c>
      <c r="E98" s="1" t="s">
        <v>1202</v>
      </c>
      <c r="F98" t="s">
        <v>131</v>
      </c>
      <c r="G98" s="1"/>
      <c r="H98">
        <v>32000</v>
      </c>
      <c r="I98">
        <f>ROUND(Tabla1[[#This Row],[COSTO]]/0.7,0)</f>
        <v>45714</v>
      </c>
      <c r="J98" s="3">
        <f>ROUND(Tabla1[[#This Row],[P GRAN MAYOR]]/0.8,0)</f>
        <v>57143</v>
      </c>
      <c r="K98" s="3">
        <f>ROUND(Tabla1[[#This Row],[P POR MAYOR]]/(1-0.375),0)</f>
        <v>91429</v>
      </c>
    </row>
    <row r="99" spans="4:11" x14ac:dyDescent="0.2">
      <c r="D99" s="1" t="s">
        <v>1203</v>
      </c>
      <c r="E99" s="1" t="s">
        <v>1204</v>
      </c>
      <c r="F99" t="s">
        <v>131</v>
      </c>
      <c r="G99" s="1"/>
      <c r="H99">
        <v>32000</v>
      </c>
      <c r="I99">
        <f>ROUND(Tabla1[[#This Row],[COSTO]]/0.7,0)</f>
        <v>45714</v>
      </c>
      <c r="J99" s="3">
        <f>ROUND(Tabla1[[#This Row],[P GRAN MAYOR]]/0.8,0)</f>
        <v>57143</v>
      </c>
      <c r="K99" s="3">
        <f>ROUND(Tabla1[[#This Row],[P POR MAYOR]]/(1-0.375),0)</f>
        <v>91429</v>
      </c>
    </row>
    <row r="100" spans="4:11" x14ac:dyDescent="0.2">
      <c r="D100" s="1" t="s">
        <v>1205</v>
      </c>
      <c r="E100" s="1" t="s">
        <v>1206</v>
      </c>
      <c r="F100" t="s">
        <v>131</v>
      </c>
      <c r="G100" s="1"/>
      <c r="H100">
        <v>32000</v>
      </c>
      <c r="I100">
        <f>ROUND(Tabla1[[#This Row],[COSTO]]/0.7,0)</f>
        <v>45714</v>
      </c>
      <c r="J100" s="3">
        <f>ROUND(Tabla1[[#This Row],[P GRAN MAYOR]]/0.8,0)</f>
        <v>57143</v>
      </c>
      <c r="K100" s="3">
        <f>ROUND(Tabla1[[#This Row],[P POR MAYOR]]/(1-0.375),0)</f>
        <v>91429</v>
      </c>
    </row>
    <row r="101" spans="4:11" x14ac:dyDescent="0.2">
      <c r="D101" s="6" t="s">
        <v>1207</v>
      </c>
      <c r="E101" s="7" t="s">
        <v>1208</v>
      </c>
      <c r="F101" t="s">
        <v>131</v>
      </c>
      <c r="G101" s="1"/>
      <c r="H101">
        <v>32000</v>
      </c>
      <c r="I101">
        <f>ROUND(Tabla1[[#This Row],[COSTO]]/0.7,0)</f>
        <v>45714</v>
      </c>
      <c r="J101" s="3">
        <f>ROUND(Tabla1[[#This Row],[P GRAN MAYOR]]/0.8,0)</f>
        <v>57143</v>
      </c>
      <c r="K101" s="3">
        <f>ROUND(Tabla1[[#This Row],[P POR MAYOR]]/(1-0.375),0)</f>
        <v>91429</v>
      </c>
    </row>
    <row r="102" spans="4:11" x14ac:dyDescent="0.2">
      <c r="D102" s="6" t="s">
        <v>1209</v>
      </c>
      <c r="E102" s="7" t="s">
        <v>1210</v>
      </c>
      <c r="F102" t="s">
        <v>131</v>
      </c>
      <c r="G102" s="1"/>
      <c r="H102">
        <v>32000</v>
      </c>
      <c r="I102">
        <f>ROUND(Tabla1[[#This Row],[COSTO]]/0.7,0)</f>
        <v>45714</v>
      </c>
      <c r="J102" s="3">
        <f>ROUND(Tabla1[[#This Row],[P GRAN MAYOR]]/0.8,0)</f>
        <v>57143</v>
      </c>
      <c r="K102" s="3">
        <f>ROUND(Tabla1[[#This Row],[P POR MAYOR]]/(1-0.375),0)</f>
        <v>91429</v>
      </c>
    </row>
    <row r="103" spans="4:11" x14ac:dyDescent="0.2">
      <c r="D103" s="6" t="s">
        <v>1212</v>
      </c>
      <c r="E103" s="7" t="s">
        <v>1211</v>
      </c>
      <c r="F103" t="s">
        <v>131</v>
      </c>
      <c r="G103" s="1"/>
      <c r="H103">
        <v>32000</v>
      </c>
      <c r="I103">
        <f>ROUND(Tabla1[[#This Row],[COSTO]]/0.7,0)</f>
        <v>45714</v>
      </c>
      <c r="J103" s="3">
        <f>ROUND(Tabla1[[#This Row],[P GRAN MAYOR]]/0.8,0)</f>
        <v>57143</v>
      </c>
      <c r="K103" s="3">
        <f>ROUND(Tabla1[[#This Row],[P POR MAYOR]]/(1-0.375),0)</f>
        <v>91429</v>
      </c>
    </row>
    <row r="104" spans="4:11" x14ac:dyDescent="0.2">
      <c r="D104" s="1" t="s">
        <v>1214</v>
      </c>
      <c r="E104" s="1" t="s">
        <v>1213</v>
      </c>
      <c r="F104" t="s">
        <v>131</v>
      </c>
      <c r="G104" s="1"/>
      <c r="H104">
        <v>32000</v>
      </c>
      <c r="I104">
        <f>ROUND(Tabla1[[#This Row],[COSTO]]/0.7,0)</f>
        <v>45714</v>
      </c>
      <c r="J104" s="3">
        <f>ROUND(Tabla1[[#This Row],[P GRAN MAYOR]]/0.8,0)</f>
        <v>57143</v>
      </c>
      <c r="K104" s="3">
        <f>ROUND(Tabla1[[#This Row],[P POR MAYOR]]/(1-0.375),0)</f>
        <v>91429</v>
      </c>
    </row>
    <row r="105" spans="4:11" x14ac:dyDescent="0.2">
      <c r="D105" s="1" t="s">
        <v>1215</v>
      </c>
      <c r="E105" s="1" t="s">
        <v>1216</v>
      </c>
      <c r="F105" t="s">
        <v>131</v>
      </c>
      <c r="G105" s="1"/>
      <c r="H105">
        <v>32000</v>
      </c>
      <c r="I105">
        <f>ROUND(Tabla1[[#This Row],[COSTO]]/0.7,0)</f>
        <v>45714</v>
      </c>
      <c r="J105" s="3">
        <f>ROUND(Tabla1[[#This Row],[P GRAN MAYOR]]/0.8,0)</f>
        <v>57143</v>
      </c>
      <c r="K105" s="3">
        <f>ROUND(Tabla1[[#This Row],[P POR MAYOR]]/(1-0.375),0)</f>
        <v>91429</v>
      </c>
    </row>
    <row r="106" spans="4:11" x14ac:dyDescent="0.2">
      <c r="D106" s="6" t="s">
        <v>1217</v>
      </c>
      <c r="E106" s="7" t="s">
        <v>1218</v>
      </c>
      <c r="F106" t="s">
        <v>131</v>
      </c>
      <c r="G106" s="1"/>
      <c r="H106">
        <v>32000</v>
      </c>
      <c r="I106">
        <f>ROUND(Tabla1[[#This Row],[COSTO]]/0.7,0)</f>
        <v>45714</v>
      </c>
      <c r="J106" s="3">
        <f>ROUND(Tabla1[[#This Row],[P GRAN MAYOR]]/0.8,0)</f>
        <v>57143</v>
      </c>
      <c r="K106" s="3">
        <f>ROUND(Tabla1[[#This Row],[P POR MAYOR]]/(1-0.375),0)</f>
        <v>91429</v>
      </c>
    </row>
    <row r="107" spans="4:11" x14ac:dyDescent="0.2">
      <c r="D107" s="6" t="s">
        <v>1219</v>
      </c>
      <c r="E107" s="7" t="s">
        <v>1220</v>
      </c>
      <c r="F107" t="s">
        <v>131</v>
      </c>
      <c r="G107" s="1"/>
      <c r="H107">
        <v>32000</v>
      </c>
      <c r="I107">
        <f>ROUND(Tabla1[[#This Row],[COSTO]]/0.7,0)</f>
        <v>45714</v>
      </c>
      <c r="J107" s="3">
        <f>ROUND(Tabla1[[#This Row],[P GRAN MAYOR]]/0.8,0)</f>
        <v>57143</v>
      </c>
      <c r="K107" s="3">
        <f>ROUND(Tabla1[[#This Row],[P POR MAYOR]]/(1-0.375),0)</f>
        <v>91429</v>
      </c>
    </row>
    <row r="108" spans="4:11" x14ac:dyDescent="0.2">
      <c r="D108" s="6" t="s">
        <v>1221</v>
      </c>
      <c r="E108" s="7" t="s">
        <v>1222</v>
      </c>
      <c r="F108" t="s">
        <v>131</v>
      </c>
      <c r="G108" s="1"/>
      <c r="H108">
        <v>32000</v>
      </c>
      <c r="I108">
        <f>ROUND(Tabla1[[#This Row],[COSTO]]/0.7,0)</f>
        <v>45714</v>
      </c>
      <c r="J108" s="3">
        <f>ROUND(Tabla1[[#This Row],[P GRAN MAYOR]]/0.8,0)</f>
        <v>57143</v>
      </c>
      <c r="K108" s="3">
        <f>ROUND(Tabla1[[#This Row],[P POR MAYOR]]/(1-0.375),0)</f>
        <v>91429</v>
      </c>
    </row>
    <row r="109" spans="4:11" x14ac:dyDescent="0.2">
      <c r="D109" s="6" t="s">
        <v>1223</v>
      </c>
      <c r="E109" s="7" t="s">
        <v>1224</v>
      </c>
      <c r="F109" t="s">
        <v>131</v>
      </c>
      <c r="G109" s="1"/>
      <c r="H109">
        <v>32000</v>
      </c>
      <c r="I109">
        <f>ROUND(Tabla1[[#This Row],[COSTO]]/0.7,0)</f>
        <v>45714</v>
      </c>
      <c r="J109" s="3">
        <f>ROUND(Tabla1[[#This Row],[P GRAN MAYOR]]/0.8,0)</f>
        <v>57143</v>
      </c>
      <c r="K109" s="3">
        <f>ROUND(Tabla1[[#This Row],[P POR MAYOR]]/(1-0.375),0)</f>
        <v>91429</v>
      </c>
    </row>
    <row r="110" spans="4:11" x14ac:dyDescent="0.2">
      <c r="D110" s="6" t="s">
        <v>1225</v>
      </c>
      <c r="E110" s="7" t="s">
        <v>1226</v>
      </c>
      <c r="F110" t="s">
        <v>131</v>
      </c>
      <c r="G110" s="1"/>
      <c r="H110">
        <v>32000</v>
      </c>
      <c r="I110">
        <f>ROUND(Tabla1[[#This Row],[COSTO]]/0.7,0)</f>
        <v>45714</v>
      </c>
      <c r="J110" s="3">
        <f>ROUND(Tabla1[[#This Row],[P GRAN MAYOR]]/0.8,0)</f>
        <v>57143</v>
      </c>
      <c r="K110" s="3">
        <f>ROUND(Tabla1[[#This Row],[P POR MAYOR]]/(1-0.375),0)</f>
        <v>91429</v>
      </c>
    </row>
    <row r="111" spans="4:11" x14ac:dyDescent="0.2">
      <c r="D111" s="6" t="s">
        <v>1239</v>
      </c>
      <c r="E111" s="7" t="s">
        <v>1240</v>
      </c>
      <c r="F111" t="s">
        <v>131</v>
      </c>
      <c r="G111" s="1"/>
      <c r="H111">
        <v>32000</v>
      </c>
      <c r="I111">
        <f>ROUND(Tabla1[[#This Row],[COSTO]]/0.7,0)</f>
        <v>45714</v>
      </c>
      <c r="J111" s="3">
        <f>ROUND(Tabla1[[#This Row],[P GRAN MAYOR]]/0.8,0)</f>
        <v>57143</v>
      </c>
      <c r="K111" s="3">
        <f>ROUND(Tabla1[[#This Row],[P POR MAYOR]]/(1-0.375),0)</f>
        <v>91429</v>
      </c>
    </row>
    <row r="112" spans="4:11" x14ac:dyDescent="0.2">
      <c r="D112" s="6" t="s">
        <v>1227</v>
      </c>
      <c r="E112" s="7" t="s">
        <v>1232</v>
      </c>
      <c r="F112" t="s">
        <v>131</v>
      </c>
      <c r="G112" s="1"/>
      <c r="H112">
        <v>32000</v>
      </c>
      <c r="I112">
        <f>ROUND(Tabla1[[#This Row],[COSTO]]/0.7,0)</f>
        <v>45714</v>
      </c>
      <c r="J112" s="3">
        <f>ROUND(Tabla1[[#This Row],[P GRAN MAYOR]]/0.8,0)</f>
        <v>57143</v>
      </c>
      <c r="K112" s="3">
        <f>ROUND(Tabla1[[#This Row],[P POR MAYOR]]/(1-0.375),0)</f>
        <v>91429</v>
      </c>
    </row>
    <row r="113" spans="4:11" x14ac:dyDescent="0.2">
      <c r="D113" s="6" t="s">
        <v>1228</v>
      </c>
      <c r="E113" s="7" t="s">
        <v>1233</v>
      </c>
      <c r="F113" t="s">
        <v>131</v>
      </c>
      <c r="G113" s="1"/>
      <c r="H113">
        <v>32000</v>
      </c>
      <c r="I113">
        <f>ROUND(Tabla1[[#This Row],[COSTO]]/0.7,0)</f>
        <v>45714</v>
      </c>
      <c r="J113" s="3">
        <f>ROUND(Tabla1[[#This Row],[P GRAN MAYOR]]/0.8,0)</f>
        <v>57143</v>
      </c>
      <c r="K113" s="3">
        <f>ROUND(Tabla1[[#This Row],[P POR MAYOR]]/(1-0.375),0)</f>
        <v>91429</v>
      </c>
    </row>
    <row r="114" spans="4:11" x14ac:dyDescent="0.2">
      <c r="D114" s="6" t="s">
        <v>1229</v>
      </c>
      <c r="E114" s="7" t="s">
        <v>1234</v>
      </c>
      <c r="F114" t="s">
        <v>131</v>
      </c>
      <c r="G114" s="1"/>
      <c r="H114">
        <v>32000</v>
      </c>
      <c r="I114">
        <f>ROUND(Tabla1[[#This Row],[COSTO]]/0.7,0)</f>
        <v>45714</v>
      </c>
      <c r="J114" s="3">
        <f>ROUND(Tabla1[[#This Row],[P GRAN MAYOR]]/0.8,0)</f>
        <v>57143</v>
      </c>
      <c r="K114" s="3">
        <f>ROUND(Tabla1[[#This Row],[P POR MAYOR]]/(1-0.375),0)</f>
        <v>91429</v>
      </c>
    </row>
    <row r="115" spans="4:11" x14ac:dyDescent="0.2">
      <c r="D115" s="6" t="s">
        <v>1230</v>
      </c>
      <c r="E115" s="7" t="s">
        <v>1235</v>
      </c>
      <c r="F115" t="s">
        <v>131</v>
      </c>
      <c r="G115" s="1"/>
      <c r="H115">
        <v>32000</v>
      </c>
      <c r="I115">
        <f>ROUND(Tabla1[[#This Row],[COSTO]]/0.7,0)</f>
        <v>45714</v>
      </c>
      <c r="J115" s="3">
        <f>ROUND(Tabla1[[#This Row],[P GRAN MAYOR]]/0.8,0)</f>
        <v>57143</v>
      </c>
      <c r="K115" s="3">
        <f>ROUND(Tabla1[[#This Row],[P POR MAYOR]]/(1-0.375),0)</f>
        <v>91429</v>
      </c>
    </row>
    <row r="116" spans="4:11" x14ac:dyDescent="0.2">
      <c r="D116" s="6" t="s">
        <v>1231</v>
      </c>
      <c r="E116" s="7" t="s">
        <v>1236</v>
      </c>
      <c r="F116" t="s">
        <v>131</v>
      </c>
      <c r="G116" s="1"/>
      <c r="H116">
        <v>32000</v>
      </c>
      <c r="I116">
        <f>ROUND(Tabla1[[#This Row],[COSTO]]/0.7,0)</f>
        <v>45714</v>
      </c>
      <c r="J116" s="3">
        <f>ROUND(Tabla1[[#This Row],[P GRAN MAYOR]]/0.8,0)</f>
        <v>57143</v>
      </c>
      <c r="K116" s="3">
        <f>ROUND(Tabla1[[#This Row],[P POR MAYOR]]/(1-0.375),0)</f>
        <v>91429</v>
      </c>
    </row>
    <row r="117" spans="4:11" x14ac:dyDescent="0.2">
      <c r="D117" s="6" t="s">
        <v>1237</v>
      </c>
      <c r="E117" s="7" t="s">
        <v>1238</v>
      </c>
      <c r="F117" t="s">
        <v>131</v>
      </c>
      <c r="G117" s="1"/>
      <c r="H117">
        <v>32000</v>
      </c>
      <c r="I117">
        <f>ROUND(Tabla1[[#This Row],[COSTO]]/0.7,0)</f>
        <v>45714</v>
      </c>
      <c r="J117" s="3">
        <f>ROUND(Tabla1[[#This Row],[P GRAN MAYOR]]/0.8,0)</f>
        <v>57143</v>
      </c>
      <c r="K117" s="3">
        <f>ROUND(Tabla1[[#This Row],[P POR MAYOR]]/(1-0.375),0)</f>
        <v>91429</v>
      </c>
    </row>
    <row r="118" spans="4:11" x14ac:dyDescent="0.2">
      <c r="D118" s="1" t="s">
        <v>1277</v>
      </c>
      <c r="E118" s="1" t="s">
        <v>1278</v>
      </c>
      <c r="F118" t="s">
        <v>131</v>
      </c>
      <c r="G118" s="1"/>
      <c r="H118">
        <v>40000</v>
      </c>
      <c r="I118">
        <f>ROUND(Tabla1[[#This Row],[COSTO]]/0.7,0)</f>
        <v>57143</v>
      </c>
      <c r="J118" s="3">
        <f>ROUND(Tabla1[[#This Row],[P GRAN MAYOR]]/0.8,0)</f>
        <v>71429</v>
      </c>
      <c r="K118" s="3">
        <f>ROUND(Tabla1[[#This Row],[P POR MAYOR]]/(1-0.375),0)</f>
        <v>114286</v>
      </c>
    </row>
    <row r="119" spans="4:11" x14ac:dyDescent="0.2">
      <c r="D119" s="1" t="s">
        <v>1279</v>
      </c>
      <c r="E119" s="1" t="s">
        <v>1280</v>
      </c>
      <c r="F119" t="s">
        <v>131</v>
      </c>
      <c r="G119" s="1"/>
      <c r="H119">
        <v>40000</v>
      </c>
      <c r="I119">
        <f>ROUND(Tabla1[[#This Row],[COSTO]]/0.7,0)</f>
        <v>57143</v>
      </c>
      <c r="J119" s="3">
        <f>ROUND(Tabla1[[#This Row],[P GRAN MAYOR]]/0.8,0)</f>
        <v>71429</v>
      </c>
      <c r="K119" s="3">
        <f>ROUND(Tabla1[[#This Row],[P POR MAYOR]]/(1-0.375),0)</f>
        <v>114286</v>
      </c>
    </row>
    <row r="120" spans="4:11" x14ac:dyDescent="0.2">
      <c r="D120" s="1" t="s">
        <v>1457</v>
      </c>
      <c r="E120" s="1" t="s">
        <v>1456</v>
      </c>
      <c r="F120" t="s">
        <v>132</v>
      </c>
      <c r="G120" s="1" t="s">
        <v>1460</v>
      </c>
      <c r="H120">
        <v>11900</v>
      </c>
      <c r="I120">
        <f>ROUND(Tabla1[[#This Row],[COSTO]]/0.7,0)</f>
        <v>17000</v>
      </c>
      <c r="J120" s="3">
        <f>ROUND(Tabla1[[#This Row],[P GRAN MAYOR]]/0.8,0)</f>
        <v>21250</v>
      </c>
      <c r="K120" s="3">
        <f>ROUND(Tabla1[[#This Row],[P POR MAYOR]]/(1-0.375),0)</f>
        <v>34000</v>
      </c>
    </row>
    <row r="121" spans="4:11" x14ac:dyDescent="0.2">
      <c r="D121" s="1" t="s">
        <v>1458</v>
      </c>
      <c r="E121" s="1" t="s">
        <v>1459</v>
      </c>
      <c r="F121" t="s">
        <v>132</v>
      </c>
      <c r="G121" s="1" t="s">
        <v>1461</v>
      </c>
      <c r="H121">
        <v>13600</v>
      </c>
      <c r="I121">
        <f>ROUND(Tabla1[[#This Row],[COSTO]]/0.7,0)</f>
        <v>19429</v>
      </c>
      <c r="J121" s="3">
        <f>ROUND(Tabla1[[#This Row],[P GRAN MAYOR]]/0.8,0)</f>
        <v>24286</v>
      </c>
      <c r="K121" s="3">
        <f>ROUND(Tabla1[[#This Row],[P POR MAYOR]]/(1-0.375),0)</f>
        <v>38858</v>
      </c>
    </row>
    <row r="122" spans="4:11" x14ac:dyDescent="0.2">
      <c r="D122" s="1" t="s">
        <v>1462</v>
      </c>
      <c r="E122" s="1" t="s">
        <v>1463</v>
      </c>
      <c r="F122" t="s">
        <v>132</v>
      </c>
      <c r="G122" s="1" t="s">
        <v>1464</v>
      </c>
      <c r="H122">
        <v>13600</v>
      </c>
      <c r="I122">
        <f>ROUND(Tabla1[[#This Row],[COSTO]]/0.7,0)</f>
        <v>19429</v>
      </c>
      <c r="J122" s="3">
        <f>ROUND(Tabla1[[#This Row],[P GRAN MAYOR]]/0.8,0)</f>
        <v>24286</v>
      </c>
      <c r="K122" s="3">
        <f>ROUND(Tabla1[[#This Row],[P POR MAYOR]]/(1-0.375),0)</f>
        <v>38858</v>
      </c>
    </row>
    <row r="123" spans="4:11" x14ac:dyDescent="0.2">
      <c r="D123" s="1" t="s">
        <v>1466</v>
      </c>
      <c r="E123" s="1" t="s">
        <v>1465</v>
      </c>
      <c r="F123" t="s">
        <v>132</v>
      </c>
      <c r="G123" s="1" t="s">
        <v>1467</v>
      </c>
      <c r="H123">
        <v>15300</v>
      </c>
      <c r="I123">
        <f>ROUND(Tabla1[[#This Row],[COSTO]]/0.7,0)</f>
        <v>21857</v>
      </c>
      <c r="J123" s="3">
        <f>ROUND(Tabla1[[#This Row],[P GRAN MAYOR]]/0.8,0)</f>
        <v>27321</v>
      </c>
      <c r="K123" s="3">
        <f>ROUND(Tabla1[[#This Row],[P POR MAYOR]]/(1-0.375),0)</f>
        <v>43714</v>
      </c>
    </row>
    <row r="124" spans="4:11" x14ac:dyDescent="0.2">
      <c r="D124" s="1" t="s">
        <v>1470</v>
      </c>
      <c r="E124" s="1" t="s">
        <v>1468</v>
      </c>
      <c r="F124" t="s">
        <v>132</v>
      </c>
      <c r="G124" s="1" t="s">
        <v>1469</v>
      </c>
      <c r="H124">
        <v>15300</v>
      </c>
      <c r="I124">
        <f>ROUND(Tabla1[[#This Row],[COSTO]]/0.7,0)</f>
        <v>21857</v>
      </c>
      <c r="J124" s="3">
        <f>ROUND(Tabla1[[#This Row],[P GRAN MAYOR]]/0.8,0)</f>
        <v>27321</v>
      </c>
      <c r="K124" s="3">
        <f>ROUND(Tabla1[[#This Row],[P POR MAYOR]]/(1-0.375),0)</f>
        <v>43714</v>
      </c>
    </row>
    <row r="125" spans="4:11" x14ac:dyDescent="0.2">
      <c r="D125" s="1" t="s">
        <v>1472</v>
      </c>
      <c r="E125" s="1" t="s">
        <v>1471</v>
      </c>
      <c r="F125" t="s">
        <v>132</v>
      </c>
      <c r="G125" s="1" t="s">
        <v>1473</v>
      </c>
      <c r="H125">
        <v>15300</v>
      </c>
      <c r="I125">
        <f>ROUND(Tabla1[[#This Row],[COSTO]]/0.7,0)</f>
        <v>21857</v>
      </c>
      <c r="J125" s="3">
        <f>ROUND(Tabla1[[#This Row],[P GRAN MAYOR]]/0.8,0)</f>
        <v>27321</v>
      </c>
      <c r="K125" s="3">
        <f>ROUND(Tabla1[[#This Row],[P POR MAYOR]]/(1-0.375),0)</f>
        <v>43714</v>
      </c>
    </row>
    <row r="126" spans="4:11" x14ac:dyDescent="0.2">
      <c r="D126" s="1" t="s">
        <v>1476</v>
      </c>
      <c r="E126" s="1" t="s">
        <v>1474</v>
      </c>
      <c r="F126" t="s">
        <v>132</v>
      </c>
      <c r="G126" s="1" t="s">
        <v>1475</v>
      </c>
      <c r="H126">
        <v>15300</v>
      </c>
      <c r="I126">
        <f>ROUND(Tabla1[[#This Row],[COSTO]]/0.7,0)</f>
        <v>21857</v>
      </c>
      <c r="J126" s="3">
        <f>ROUND(Tabla1[[#This Row],[P GRAN MAYOR]]/0.8,0)</f>
        <v>27321</v>
      </c>
      <c r="K126" s="3">
        <f>ROUND(Tabla1[[#This Row],[P POR MAYOR]]/(1-0.375),0)</f>
        <v>43714</v>
      </c>
    </row>
    <row r="127" spans="4:11" x14ac:dyDescent="0.2">
      <c r="D127" s="1" t="s">
        <v>1478</v>
      </c>
      <c r="E127" s="1" t="s">
        <v>1481</v>
      </c>
      <c r="F127" t="s">
        <v>132</v>
      </c>
      <c r="G127" s="1" t="s">
        <v>1477</v>
      </c>
      <c r="H127">
        <v>16150</v>
      </c>
      <c r="I127">
        <f>ROUND(Tabla1[[#This Row],[COSTO]]/0.7,0)</f>
        <v>23071</v>
      </c>
      <c r="J127" s="3">
        <f>ROUND(Tabla1[[#This Row],[P GRAN MAYOR]]/0.8,0)</f>
        <v>28839</v>
      </c>
      <c r="K127" s="3">
        <f>ROUND(Tabla1[[#This Row],[P POR MAYOR]]/(1-0.375),0)</f>
        <v>46142</v>
      </c>
    </row>
    <row r="128" spans="4:11" x14ac:dyDescent="0.2">
      <c r="D128" s="1" t="s">
        <v>1479</v>
      </c>
      <c r="E128" s="1" t="s">
        <v>1480</v>
      </c>
      <c r="F128" t="s">
        <v>132</v>
      </c>
      <c r="G128" s="1" t="s">
        <v>1482</v>
      </c>
      <c r="H128">
        <v>16150</v>
      </c>
      <c r="I128">
        <f>ROUND(Tabla1[[#This Row],[COSTO]]/0.7,0)</f>
        <v>23071</v>
      </c>
      <c r="J128" s="3">
        <f>ROUND(Tabla1[[#This Row],[P GRAN MAYOR]]/0.8,0)</f>
        <v>28839</v>
      </c>
      <c r="K128" s="3">
        <f>ROUND(Tabla1[[#This Row],[P POR MAYOR]]/(1-0.375),0)</f>
        <v>46142</v>
      </c>
    </row>
    <row r="129" spans="4:11" x14ac:dyDescent="0.2">
      <c r="D129" s="1" t="s">
        <v>1483</v>
      </c>
      <c r="E129" s="1" t="s">
        <v>1484</v>
      </c>
      <c r="F129" t="s">
        <v>132</v>
      </c>
      <c r="G129" s="1" t="s">
        <v>1485</v>
      </c>
      <c r="H129">
        <v>23800</v>
      </c>
      <c r="I129">
        <f>ROUND(Tabla1[[#This Row],[COSTO]]/0.7,0)</f>
        <v>34000</v>
      </c>
      <c r="J129" s="3">
        <f>ROUND(Tabla1[[#This Row],[P GRAN MAYOR]]/0.8,0)</f>
        <v>42500</v>
      </c>
      <c r="K129" s="3">
        <f>ROUND(Tabla1[[#This Row],[P POR MAYOR]]/(1-0.375),0)</f>
        <v>68000</v>
      </c>
    </row>
    <row r="130" spans="4:11" x14ac:dyDescent="0.2">
      <c r="D130" s="1" t="s">
        <v>1487</v>
      </c>
      <c r="E130" s="1" t="s">
        <v>1486</v>
      </c>
      <c r="F130" t="s">
        <v>132</v>
      </c>
      <c r="G130" s="1" t="s">
        <v>1488</v>
      </c>
      <c r="H130">
        <v>28000</v>
      </c>
      <c r="I130">
        <f>ROUND(Tabla1[[#This Row],[COSTO]]/0.7,0)</f>
        <v>40000</v>
      </c>
      <c r="J130" s="3">
        <f>ROUND(Tabla1[[#This Row],[P GRAN MAYOR]]/0.8,0)</f>
        <v>50000</v>
      </c>
      <c r="K130" s="3">
        <f>ROUND(Tabla1[[#This Row],[P POR MAYOR]]/(1-0.375),0)</f>
        <v>80000</v>
      </c>
    </row>
    <row r="131" spans="4:11" x14ac:dyDescent="0.2">
      <c r="D131" s="1" t="s">
        <v>1495</v>
      </c>
      <c r="E131" s="1" t="s">
        <v>1496</v>
      </c>
      <c r="F131" t="s">
        <v>134</v>
      </c>
      <c r="G131" s="1" t="s">
        <v>1497</v>
      </c>
      <c r="H131">
        <f>43500*0.95</f>
        <v>41325</v>
      </c>
      <c r="I131">
        <f>ROUND(Tabla1[[#This Row],[COSTO]]/0.7,0)</f>
        <v>59036</v>
      </c>
      <c r="J131" s="3">
        <f>ROUND(Tabla1[[#This Row],[P GRAN MAYOR]]/0.8,0)</f>
        <v>73795</v>
      </c>
      <c r="K131" s="3">
        <f>ROUND(Tabla1[[#This Row],[P POR MAYOR]]/(1-0.375),0)</f>
        <v>118072</v>
      </c>
    </row>
    <row r="132" spans="4:11" x14ac:dyDescent="0.2">
      <c r="D132" s="1" t="s">
        <v>1498</v>
      </c>
      <c r="E132" s="1" t="s">
        <v>1499</v>
      </c>
      <c r="F132" t="s">
        <v>134</v>
      </c>
      <c r="G132" s="1" t="s">
        <v>1500</v>
      </c>
      <c r="H132">
        <f>39800*0.95</f>
        <v>37810</v>
      </c>
      <c r="I132">
        <f>ROUND(Tabla1[[#This Row],[COSTO]]/0.7,0)</f>
        <v>54014</v>
      </c>
      <c r="J132" s="3">
        <f>ROUND(Tabla1[[#This Row],[P GRAN MAYOR]]/0.8,0)</f>
        <v>67518</v>
      </c>
      <c r="K132" s="3">
        <f>ROUND(Tabla1[[#This Row],[P POR MAYOR]]/(1-0.375),0)</f>
        <v>108029</v>
      </c>
    </row>
    <row r="133" spans="4:11" x14ac:dyDescent="0.2">
      <c r="D133" s="1" t="s">
        <v>1501</v>
      </c>
      <c r="E133" s="1" t="s">
        <v>1502</v>
      </c>
      <c r="F133" t="s">
        <v>134</v>
      </c>
      <c r="G133" s="1" t="s">
        <v>138</v>
      </c>
      <c r="H133">
        <f>39500*0.95</f>
        <v>37525</v>
      </c>
      <c r="I133">
        <f>ROUND(Tabla1[[#This Row],[COSTO]]/0.7,0)</f>
        <v>53607</v>
      </c>
      <c r="J133" s="3">
        <f>ROUND(Tabla1[[#This Row],[P GRAN MAYOR]]/0.8,0)</f>
        <v>67009</v>
      </c>
      <c r="K133" s="3">
        <f>ROUND(Tabla1[[#This Row],[P POR MAYOR]]/(1-0.375),0)</f>
        <v>107214</v>
      </c>
    </row>
    <row r="134" spans="4:11" x14ac:dyDescent="0.2">
      <c r="D134" s="1" t="s">
        <v>1503</v>
      </c>
      <c r="E134" s="1" t="s">
        <v>1504</v>
      </c>
      <c r="F134" t="s">
        <v>134</v>
      </c>
      <c r="G134" s="1" t="s">
        <v>1505</v>
      </c>
      <c r="H134">
        <f>41500*0.95</f>
        <v>39425</v>
      </c>
      <c r="I134">
        <f>ROUND(Tabla1[[#This Row],[COSTO]]/0.7,0)</f>
        <v>56321</v>
      </c>
      <c r="J134" s="3">
        <f>ROUND(Tabla1[[#This Row],[P GRAN MAYOR]]/0.8,0)</f>
        <v>70401</v>
      </c>
      <c r="K134" s="3">
        <f>ROUND(Tabla1[[#This Row],[P POR MAYOR]]/(1-0.375),0)</f>
        <v>112642</v>
      </c>
    </row>
    <row r="135" spans="4:11" x14ac:dyDescent="0.2">
      <c r="D135" s="1" t="s">
        <v>1507</v>
      </c>
      <c r="E135" s="1" t="s">
        <v>1506</v>
      </c>
      <c r="F135" t="s">
        <v>134</v>
      </c>
      <c r="G135" s="1">
        <v>9030826</v>
      </c>
      <c r="H135">
        <f>39800*0.95</f>
        <v>37810</v>
      </c>
      <c r="I135">
        <f>ROUND(Tabla1[[#This Row],[COSTO]]/0.7,0)</f>
        <v>54014</v>
      </c>
      <c r="J135" s="3">
        <f>ROUND(Tabla1[[#This Row],[P GRAN MAYOR]]/0.8,0)</f>
        <v>67518</v>
      </c>
      <c r="K135" s="3">
        <f>ROUND(Tabla1[[#This Row],[P POR MAYOR]]/(1-0.375),0)</f>
        <v>108029</v>
      </c>
    </row>
    <row r="136" spans="4:11" x14ac:dyDescent="0.2">
      <c r="D136" s="1" t="s">
        <v>1508</v>
      </c>
      <c r="E136" s="1" t="s">
        <v>1509</v>
      </c>
      <c r="F136" t="s">
        <v>134</v>
      </c>
      <c r="G136" s="1" t="s">
        <v>1510</v>
      </c>
      <c r="H136">
        <f>36800*0.95</f>
        <v>34960</v>
      </c>
      <c r="I136">
        <f>ROUND(Tabla1[[#This Row],[COSTO]]/0.7,0)</f>
        <v>49943</v>
      </c>
      <c r="J136" s="3">
        <f>ROUND(Tabla1[[#This Row],[P GRAN MAYOR]]/0.8,0)</f>
        <v>62429</v>
      </c>
      <c r="K136" s="3">
        <f>ROUND(Tabla1[[#This Row],[P POR MAYOR]]/(1-0.375),0)</f>
        <v>99886</v>
      </c>
    </row>
    <row r="137" spans="4:11" x14ac:dyDescent="0.2">
      <c r="D137" s="1" t="s">
        <v>1511</v>
      </c>
      <c r="E137" s="1" t="s">
        <v>1512</v>
      </c>
      <c r="F137" t="s">
        <v>134</v>
      </c>
      <c r="G137" s="1" t="s">
        <v>142</v>
      </c>
      <c r="H137">
        <f>37500*0.95</f>
        <v>35625</v>
      </c>
      <c r="I137">
        <f>ROUND(Tabla1[[#This Row],[COSTO]]/0.7,0)</f>
        <v>50893</v>
      </c>
      <c r="J137" s="3">
        <f>ROUND(Tabla1[[#This Row],[P GRAN MAYOR]]/0.8,0)</f>
        <v>63616</v>
      </c>
      <c r="K137" s="3">
        <f>ROUND(Tabla1[[#This Row],[P POR MAYOR]]/(1-0.375),0)</f>
        <v>101786</v>
      </c>
    </row>
    <row r="138" spans="4:11" x14ac:dyDescent="0.2">
      <c r="D138" s="1" t="s">
        <v>1514</v>
      </c>
      <c r="E138" s="1" t="s">
        <v>1513</v>
      </c>
      <c r="F138" t="s">
        <v>134</v>
      </c>
      <c r="G138" s="1" t="s">
        <v>1515</v>
      </c>
      <c r="H138">
        <f>43500*0.95</f>
        <v>41325</v>
      </c>
      <c r="I138">
        <f>ROUND(Tabla1[[#This Row],[COSTO]]/0.7,0)</f>
        <v>59036</v>
      </c>
      <c r="J138" s="3">
        <f>ROUND(Tabla1[[#This Row],[P GRAN MAYOR]]/0.8,0)</f>
        <v>73795</v>
      </c>
      <c r="K138" s="3">
        <f>ROUND(Tabla1[[#This Row],[P POR MAYOR]]/(1-0.375),0)</f>
        <v>118072</v>
      </c>
    </row>
    <row r="139" spans="4:11" x14ac:dyDescent="0.2">
      <c r="D139" s="1" t="s">
        <v>1516</v>
      </c>
      <c r="E139" s="1" t="s">
        <v>1517</v>
      </c>
      <c r="F139" t="s">
        <v>134</v>
      </c>
      <c r="G139" s="1" t="s">
        <v>1518</v>
      </c>
      <c r="H139">
        <f>55500*0.95</f>
        <v>52725</v>
      </c>
      <c r="I139">
        <f>ROUND(Tabla1[[#This Row],[COSTO]]/0.7,0)</f>
        <v>75321</v>
      </c>
      <c r="J139" s="3">
        <f>ROUND(Tabla1[[#This Row],[P GRAN MAYOR]]/0.8,0)</f>
        <v>94151</v>
      </c>
      <c r="K139" s="3">
        <f>ROUND(Tabla1[[#This Row],[P POR MAYOR]]/(1-0.375),0)</f>
        <v>150642</v>
      </c>
    </row>
    <row r="140" spans="4:11" x14ac:dyDescent="0.2">
      <c r="D140" s="1" t="s">
        <v>1519</v>
      </c>
      <c r="E140" s="1" t="s">
        <v>1520</v>
      </c>
      <c r="F140" t="s">
        <v>134</v>
      </c>
      <c r="G140" s="1" t="s">
        <v>1521</v>
      </c>
      <c r="H140">
        <f>57500*0.95</f>
        <v>54625</v>
      </c>
      <c r="I140">
        <f>ROUND(Tabla1[[#This Row],[COSTO]]/0.7,0)</f>
        <v>78036</v>
      </c>
      <c r="J140" s="3">
        <f>ROUND(Tabla1[[#This Row],[P GRAN MAYOR]]/0.8,0)</f>
        <v>97545</v>
      </c>
      <c r="K140" s="3">
        <f>ROUND(Tabla1[[#This Row],[P POR MAYOR]]/(1-0.375),0)</f>
        <v>156072</v>
      </c>
    </row>
    <row r="141" spans="4:11" x14ac:dyDescent="0.2">
      <c r="D141" s="1" t="s">
        <v>1594</v>
      </c>
      <c r="E141" s="1" t="s">
        <v>1595</v>
      </c>
      <c r="F141" t="s">
        <v>132</v>
      </c>
      <c r="G141" s="1" t="s">
        <v>1596</v>
      </c>
      <c r="H141">
        <f>38000*0.85</f>
        <v>32300</v>
      </c>
      <c r="I141">
        <f>ROUND(Tabla1[[#This Row],[COSTO]]/0.7,0)</f>
        <v>46143</v>
      </c>
      <c r="J141" s="3">
        <f>ROUND(Tabla1[[#This Row],[P GRAN MAYOR]]/0.8,0)</f>
        <v>57679</v>
      </c>
      <c r="K141" s="3">
        <f>ROUND(Tabla1[[#This Row],[P POR MAYOR]]/(1-0.375),0)</f>
        <v>92286</v>
      </c>
    </row>
    <row r="142" spans="4:11" x14ac:dyDescent="0.2">
      <c r="D142" s="1" t="s">
        <v>1597</v>
      </c>
      <c r="E142" s="1" t="s">
        <v>1598</v>
      </c>
      <c r="F142" t="s">
        <v>132</v>
      </c>
      <c r="G142" s="1" t="s">
        <v>1599</v>
      </c>
      <c r="H142">
        <f>38000*0.85</f>
        <v>32300</v>
      </c>
      <c r="I142">
        <f>ROUND(Tabla1[[#This Row],[COSTO]]/0.7,0)</f>
        <v>46143</v>
      </c>
      <c r="J142" s="3">
        <f>ROUND(Tabla1[[#This Row],[P GRAN MAYOR]]/0.8,0)</f>
        <v>57679</v>
      </c>
      <c r="K142" s="3">
        <f>ROUND(Tabla1[[#This Row],[P POR MAYOR]]/(1-0.375),0)</f>
        <v>92286</v>
      </c>
    </row>
    <row r="143" spans="4:11" x14ac:dyDescent="0.2">
      <c r="D143" s="1" t="s">
        <v>1600</v>
      </c>
      <c r="E143" s="1" t="s">
        <v>1601</v>
      </c>
      <c r="F143" t="s">
        <v>132</v>
      </c>
      <c r="G143" s="1" t="s">
        <v>1602</v>
      </c>
      <c r="H143">
        <f>15000*0.85</f>
        <v>12750</v>
      </c>
      <c r="I143">
        <f>ROUND(Tabla1[[#This Row],[COSTO]]/0.7,0)</f>
        <v>18214</v>
      </c>
      <c r="J143" s="3">
        <f>ROUND(Tabla1[[#This Row],[P GRAN MAYOR]]/0.8,0)</f>
        <v>22768</v>
      </c>
      <c r="K143" s="3">
        <f>ROUND(Tabla1[[#This Row],[P POR MAYOR]]/(1-0.375),0)</f>
        <v>36429</v>
      </c>
    </row>
    <row r="144" spans="4:11" x14ac:dyDescent="0.2">
      <c r="D144" s="1" t="s">
        <v>1603</v>
      </c>
      <c r="E144" s="1" t="s">
        <v>1624</v>
      </c>
      <c r="F144" t="s">
        <v>132</v>
      </c>
      <c r="G144" s="1" t="s">
        <v>1604</v>
      </c>
      <c r="H144">
        <f>22000*0.85</f>
        <v>18700</v>
      </c>
      <c r="I144">
        <f>ROUND(Tabla1[[#This Row],[COSTO]]/0.7,0)</f>
        <v>26714</v>
      </c>
      <c r="J144" s="3">
        <f>ROUND(Tabla1[[#This Row],[P GRAN MAYOR]]/0.8,0)</f>
        <v>33393</v>
      </c>
      <c r="K144" s="3">
        <f>ROUND(Tabla1[[#This Row],[P POR MAYOR]]/(1-0.375),0)</f>
        <v>53429</v>
      </c>
    </row>
    <row r="145" spans="4:11" x14ac:dyDescent="0.2">
      <c r="D145" s="1" t="s">
        <v>1605</v>
      </c>
      <c r="E145" s="1" t="s">
        <v>1606</v>
      </c>
      <c r="F145" t="s">
        <v>132</v>
      </c>
      <c r="G145" s="1" t="s">
        <v>1607</v>
      </c>
      <c r="H145">
        <f>20000*0.85</f>
        <v>17000</v>
      </c>
      <c r="I145">
        <f>ROUND(Tabla1[[#This Row],[COSTO]]/0.7,0)</f>
        <v>24286</v>
      </c>
      <c r="J145" s="3">
        <f>ROUND(Tabla1[[#This Row],[P GRAN MAYOR]]/0.8,0)</f>
        <v>30358</v>
      </c>
      <c r="K145" s="3">
        <f>ROUND(Tabla1[[#This Row],[P POR MAYOR]]/(1-0.375),0)</f>
        <v>48573</v>
      </c>
    </row>
    <row r="146" spans="4:11" x14ac:dyDescent="0.2">
      <c r="D146" s="1" t="s">
        <v>1608</v>
      </c>
      <c r="E146" s="1" t="s">
        <v>1609</v>
      </c>
      <c r="F146" t="s">
        <v>132</v>
      </c>
      <c r="G146" s="1" t="s">
        <v>1610</v>
      </c>
      <c r="H146">
        <f>19000*0.85</f>
        <v>16150</v>
      </c>
      <c r="I146">
        <f>ROUND(Tabla1[[#This Row],[COSTO]]/0.7,0)</f>
        <v>23071</v>
      </c>
      <c r="J146" s="3">
        <f>ROUND(Tabla1[[#This Row],[P GRAN MAYOR]]/0.8,0)</f>
        <v>28839</v>
      </c>
      <c r="K146" s="3">
        <f>ROUND(Tabla1[[#This Row],[P POR MAYOR]]/(1-0.375),0)</f>
        <v>46142</v>
      </c>
    </row>
    <row r="147" spans="4:11" x14ac:dyDescent="0.2">
      <c r="D147" s="1" t="s">
        <v>1612</v>
      </c>
      <c r="E147" s="1" t="s">
        <v>1611</v>
      </c>
      <c r="F147" t="s">
        <v>132</v>
      </c>
      <c r="G147" s="1" t="s">
        <v>1613</v>
      </c>
      <c r="H147">
        <f>17000*0.85</f>
        <v>14450</v>
      </c>
      <c r="I147">
        <f>ROUND(Tabla1[[#This Row],[COSTO]]/0.7,0)</f>
        <v>20643</v>
      </c>
      <c r="J147" s="3">
        <f>ROUND(Tabla1[[#This Row],[P GRAN MAYOR]]/0.8,0)</f>
        <v>25804</v>
      </c>
      <c r="K147" s="3">
        <f>ROUND(Tabla1[[#This Row],[P POR MAYOR]]/(1-0.375),0)</f>
        <v>41286</v>
      </c>
    </row>
    <row r="148" spans="4:11" x14ac:dyDescent="0.2">
      <c r="D148" s="1" t="s">
        <v>1614</v>
      </c>
      <c r="E148" s="1" t="s">
        <v>1633</v>
      </c>
      <c r="F148" t="s">
        <v>132</v>
      </c>
      <c r="G148" s="1" t="s">
        <v>1615</v>
      </c>
      <c r="H148">
        <f>25000*0.85</f>
        <v>21250</v>
      </c>
      <c r="I148">
        <f>ROUND(Tabla1[[#This Row],[COSTO]]/0.7,0)</f>
        <v>30357</v>
      </c>
      <c r="J148" s="3">
        <f>ROUND(Tabla1[[#This Row],[P GRAN MAYOR]]/0.8,0)</f>
        <v>37946</v>
      </c>
      <c r="K148" s="3">
        <f>ROUND(Tabla1[[#This Row],[P POR MAYOR]]/(1-0.375),0)</f>
        <v>60714</v>
      </c>
    </row>
    <row r="149" spans="4:11" x14ac:dyDescent="0.2">
      <c r="D149" s="1" t="s">
        <v>1616</v>
      </c>
      <c r="E149" s="1" t="s">
        <v>1617</v>
      </c>
      <c r="F149" t="s">
        <v>132</v>
      </c>
      <c r="G149" s="1" t="s">
        <v>1618</v>
      </c>
      <c r="H149">
        <f>12000*0.85</f>
        <v>10200</v>
      </c>
      <c r="I149">
        <f>ROUND(Tabla1[[#This Row],[COSTO]]/0.7,0)</f>
        <v>14571</v>
      </c>
      <c r="J149" s="3">
        <f>ROUND(Tabla1[[#This Row],[P GRAN MAYOR]]/0.8,0)</f>
        <v>18214</v>
      </c>
      <c r="K149" s="3">
        <f>ROUND(Tabla1[[#This Row],[P POR MAYOR]]/(1-0.375),0)</f>
        <v>29142</v>
      </c>
    </row>
    <row r="150" spans="4:11" x14ac:dyDescent="0.2">
      <c r="D150" s="1" t="s">
        <v>1620</v>
      </c>
      <c r="E150" s="1" t="s">
        <v>1619</v>
      </c>
      <c r="F150" t="s">
        <v>132</v>
      </c>
      <c r="G150" s="1" t="s">
        <v>1621</v>
      </c>
      <c r="H150">
        <f>38000*0.85</f>
        <v>32300</v>
      </c>
      <c r="I150">
        <f>ROUND(Tabla1[[#This Row],[COSTO]]/0.7,0)</f>
        <v>46143</v>
      </c>
      <c r="J150" s="3">
        <f>ROUND(Tabla1[[#This Row],[P GRAN MAYOR]]/0.8,0)</f>
        <v>57679</v>
      </c>
      <c r="K150" s="3">
        <f>ROUND(Tabla1[[#This Row],[P POR MAYOR]]/(1-0.375),0)</f>
        <v>92286</v>
      </c>
    </row>
    <row r="151" spans="4:11" x14ac:dyDescent="0.2">
      <c r="D151" s="1" t="s">
        <v>1658</v>
      </c>
      <c r="E151" s="1" t="s">
        <v>1659</v>
      </c>
      <c r="F151" t="s">
        <v>1403</v>
      </c>
      <c r="G151" s="1"/>
      <c r="H151">
        <v>37000</v>
      </c>
      <c r="I151">
        <f>ROUND(Tabla1[[#This Row],[COSTO]]/0.7,0)</f>
        <v>52857</v>
      </c>
      <c r="J151" s="21">
        <f>ROUND(Tabla1[[#This Row],[P GRAN MAYOR]]/0.8,0)</f>
        <v>66071</v>
      </c>
      <c r="K151" s="21">
        <f>ROUND(Tabla1[[#This Row],[P POR MAYOR]]/(1-0.375),0)</f>
        <v>105714</v>
      </c>
    </row>
    <row r="152" spans="4:11" x14ac:dyDescent="0.2">
      <c r="D152" s="1" t="s">
        <v>1703</v>
      </c>
      <c r="E152" s="1" t="s">
        <v>1701</v>
      </c>
      <c r="F152" t="s">
        <v>134</v>
      </c>
      <c r="G152" s="1" t="s">
        <v>1702</v>
      </c>
      <c r="H152">
        <f>19000*0.9</f>
        <v>17100</v>
      </c>
      <c r="I152">
        <f>ROUND(Tabla1[[#This Row],[COSTO]]/0.7,0)</f>
        <v>24429</v>
      </c>
      <c r="J152" s="21">
        <f>ROUND(Tabla1[[#This Row],[P GRAN MAYOR]]/0.8,0)</f>
        <v>30536</v>
      </c>
      <c r="K152" s="21">
        <f>ROUND(Tabla1[[#This Row],[P POR MAYOR]]/(1-0.375),0)</f>
        <v>48858</v>
      </c>
    </row>
    <row r="153" spans="4:11" x14ac:dyDescent="0.2">
      <c r="D153" s="1" t="s">
        <v>1704</v>
      </c>
      <c r="E153" s="1" t="s">
        <v>1705</v>
      </c>
      <c r="F153" t="s">
        <v>134</v>
      </c>
      <c r="G153" s="1" t="s">
        <v>1702</v>
      </c>
      <c r="H153">
        <f>19000*0.9</f>
        <v>17100</v>
      </c>
      <c r="I153">
        <f>ROUND(Tabla1[[#This Row],[COSTO]]/0.7,0)</f>
        <v>24429</v>
      </c>
      <c r="J153" s="21">
        <f>ROUND(Tabla1[[#This Row],[P GRAN MAYOR]]/0.8,0)</f>
        <v>30536</v>
      </c>
      <c r="K153" s="21">
        <f>ROUND(Tabla1[[#This Row],[P POR MAYOR]]/(1-0.375),0)</f>
        <v>48858</v>
      </c>
    </row>
    <row r="154" spans="4:11" x14ac:dyDescent="0.2">
      <c r="D154" s="1" t="s">
        <v>1706</v>
      </c>
      <c r="E154" s="1" t="s">
        <v>1707</v>
      </c>
      <c r="F154" t="s">
        <v>134</v>
      </c>
      <c r="G154" s="1" t="s">
        <v>1702</v>
      </c>
      <c r="H154">
        <f>19000*0.9</f>
        <v>17100</v>
      </c>
      <c r="I154">
        <f>ROUND(Tabla1[[#This Row],[COSTO]]/0.7,0)</f>
        <v>24429</v>
      </c>
      <c r="J154" s="21">
        <f>ROUND(Tabla1[[#This Row],[P GRAN MAYOR]]/0.8,0)</f>
        <v>30536</v>
      </c>
      <c r="K154" s="21">
        <f>ROUND(Tabla1[[#This Row],[P POR MAYOR]]/(1-0.375),0)</f>
        <v>48858</v>
      </c>
    </row>
    <row r="155" spans="4:11" x14ac:dyDescent="0.2">
      <c r="D155" s="1" t="s">
        <v>1710</v>
      </c>
      <c r="E155" s="1" t="s">
        <v>1708</v>
      </c>
      <c r="F155" t="s">
        <v>134</v>
      </c>
      <c r="G155" s="1" t="s">
        <v>1709</v>
      </c>
      <c r="H155">
        <f>36500*0.9</f>
        <v>32850</v>
      </c>
      <c r="I155">
        <f>ROUND(Tabla1[[#This Row],[COSTO]]/0.7,0)</f>
        <v>46929</v>
      </c>
      <c r="J155" s="21">
        <f>ROUND(Tabla1[[#This Row],[P GRAN MAYOR]]/0.8,0)</f>
        <v>58661</v>
      </c>
      <c r="K155" s="21">
        <f>ROUND(Tabla1[[#This Row],[P POR MAYOR]]/(1-0.375),0)</f>
        <v>93858</v>
      </c>
    </row>
    <row r="156" spans="4:11" x14ac:dyDescent="0.2">
      <c r="D156" s="1" t="s">
        <v>1756</v>
      </c>
      <c r="E156" s="1" t="s">
        <v>1754</v>
      </c>
      <c r="F156" t="s">
        <v>732</v>
      </c>
      <c r="G156" s="1" t="s">
        <v>1755</v>
      </c>
      <c r="H156">
        <f>18000*0.6</f>
        <v>10800</v>
      </c>
      <c r="I156">
        <f>ROUND(Tabla1[[#This Row],[COSTO]]/0.7,0)</f>
        <v>15429</v>
      </c>
      <c r="J156" s="21">
        <f>ROUND(Tabla1[[#This Row],[P GRAN MAYOR]]/0.8,0)</f>
        <v>19286</v>
      </c>
      <c r="K156" s="21">
        <f>ROUND(Tabla1[[#This Row],[P POR MAYOR]]/(1-0.375),0)</f>
        <v>30858</v>
      </c>
    </row>
    <row r="157" spans="4:11" x14ac:dyDescent="0.2">
      <c r="D157" s="1" t="s">
        <v>1758</v>
      </c>
      <c r="E157" s="1" t="s">
        <v>1759</v>
      </c>
      <c r="F157" t="s">
        <v>732</v>
      </c>
      <c r="G157" s="1" t="s">
        <v>1757</v>
      </c>
      <c r="H157">
        <f>22000*0.6</f>
        <v>13200</v>
      </c>
      <c r="I157">
        <f>ROUND(Tabla1[[#This Row],[COSTO]]/0.7,0)</f>
        <v>18857</v>
      </c>
      <c r="J157" s="21">
        <f>ROUND(Tabla1[[#This Row],[P GRAN MAYOR]]/0.8,0)</f>
        <v>23571</v>
      </c>
      <c r="K157" s="21">
        <f>ROUND(Tabla1[[#This Row],[P POR MAYOR]]/(1-0.375),0)</f>
        <v>37714</v>
      </c>
    </row>
    <row r="158" spans="4:11" x14ac:dyDescent="0.2">
      <c r="D158" s="1" t="s">
        <v>1762</v>
      </c>
      <c r="E158" s="1" t="s">
        <v>1760</v>
      </c>
      <c r="F158" t="s">
        <v>732</v>
      </c>
      <c r="G158" s="1" t="s">
        <v>1761</v>
      </c>
      <c r="H158">
        <f>25000*0.6</f>
        <v>15000</v>
      </c>
      <c r="I158">
        <f>ROUND(Tabla1[[#This Row],[COSTO]]/0.7,0)</f>
        <v>21429</v>
      </c>
      <c r="J158" s="21">
        <f>ROUND(Tabla1[[#This Row],[P GRAN MAYOR]]/0.8,0)</f>
        <v>26786</v>
      </c>
      <c r="K158" s="21">
        <f>ROUND(Tabla1[[#This Row],[P POR MAYOR]]/(1-0.375),0)</f>
        <v>42858</v>
      </c>
    </row>
    <row r="159" spans="4:11" x14ac:dyDescent="0.2">
      <c r="D159" s="1" t="s">
        <v>1763</v>
      </c>
      <c r="E159" s="1" t="s">
        <v>1764</v>
      </c>
      <c r="F159" t="s">
        <v>732</v>
      </c>
      <c r="G159" s="1" t="s">
        <v>1765</v>
      </c>
      <c r="H159">
        <f>29000*0.6</f>
        <v>17400</v>
      </c>
      <c r="I159">
        <f>ROUND(Tabla1[[#This Row],[COSTO]]/0.7,0)</f>
        <v>24857</v>
      </c>
      <c r="J159" s="21">
        <f>ROUND(Tabla1[[#This Row],[P GRAN MAYOR]]/0.8,0)</f>
        <v>31071</v>
      </c>
      <c r="K159" s="21">
        <f>ROUND(Tabla1[[#This Row],[P POR MAYOR]]/(1-0.375),0)</f>
        <v>49714</v>
      </c>
    </row>
    <row r="160" spans="4:11" x14ac:dyDescent="0.2">
      <c r="D160" s="1" t="s">
        <v>1768</v>
      </c>
      <c r="E160" s="1" t="s">
        <v>1766</v>
      </c>
      <c r="F160" t="s">
        <v>732</v>
      </c>
      <c r="G160" s="1" t="s">
        <v>1767</v>
      </c>
      <c r="H160">
        <f>33000*0.6</f>
        <v>19800</v>
      </c>
      <c r="I160">
        <f>ROUND(Tabla1[[#This Row],[COSTO]]/0.7,0)</f>
        <v>28286</v>
      </c>
      <c r="J160" s="21">
        <f>ROUND(Tabla1[[#This Row],[P GRAN MAYOR]]/0.8,0)</f>
        <v>35358</v>
      </c>
      <c r="K160" s="21">
        <f>ROUND(Tabla1[[#This Row],[P POR MAYOR]]/(1-0.375),0)</f>
        <v>56573</v>
      </c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46EC-1C98-E649-840D-0D840BA63219}">
  <dimension ref="D1:AA127"/>
  <sheetViews>
    <sheetView topLeftCell="C1" zoomScale="119" zoomScaleNormal="115" workbookViewId="0">
      <selection activeCell="D8" sqref="D8"/>
    </sheetView>
  </sheetViews>
  <sheetFormatPr baseColWidth="10" defaultRowHeight="16" x14ac:dyDescent="0.2"/>
  <cols>
    <col min="4" max="4" width="42.6640625" customWidth="1"/>
    <col min="5" max="5" width="32" bestFit="1" customWidth="1"/>
    <col min="6" max="6" width="14.1640625" customWidth="1"/>
    <col min="7" max="7" width="13.1640625" customWidth="1"/>
    <col min="8" max="8" width="16.83203125" customWidth="1"/>
    <col min="9" max="9" width="22.33203125" customWidth="1"/>
    <col min="10" max="10" width="23" customWidth="1"/>
    <col min="11" max="11" width="15.83203125" customWidth="1"/>
    <col min="14" max="16" width="12" customWidth="1"/>
    <col min="17" max="17" width="12" style="12" customWidth="1"/>
  </cols>
  <sheetData>
    <row r="1" spans="4:17" x14ac:dyDescent="0.2">
      <c r="Q1"/>
    </row>
    <row r="2" spans="4:17" x14ac:dyDescent="0.2">
      <c r="Q2"/>
    </row>
    <row r="3" spans="4:17" x14ac:dyDescent="0.2">
      <c r="Q3"/>
    </row>
    <row r="4" spans="4:17" x14ac:dyDescent="0.2">
      <c r="I4" s="20">
        <f>(I6-H6)/I6</f>
        <v>0.3</v>
      </c>
      <c r="J4" s="20">
        <f>(J6-H6)/J6</f>
        <v>0.44</v>
      </c>
      <c r="K4" s="20">
        <f>(K6-H6)/K6</f>
        <v>0.65</v>
      </c>
      <c r="Q4"/>
    </row>
    <row r="5" spans="4:17" x14ac:dyDescent="0.2"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1628</v>
      </c>
      <c r="J5" t="s">
        <v>1626</v>
      </c>
      <c r="K5" t="s">
        <v>1629</v>
      </c>
      <c r="Q5"/>
    </row>
    <row r="6" spans="4:17" ht="17" x14ac:dyDescent="0.2">
      <c r="D6" s="1" t="s">
        <v>146</v>
      </c>
      <c r="E6" s="2" t="s">
        <v>147</v>
      </c>
      <c r="F6" t="s">
        <v>133</v>
      </c>
      <c r="G6" s="2" t="s">
        <v>306</v>
      </c>
      <c r="H6" s="2" t="s">
        <v>315</v>
      </c>
      <c r="I6" s="3">
        <f>ROUND(Tabla2[[#This Row],[COSTO]]/0.7,0)</f>
        <v>25000</v>
      </c>
      <c r="J6" s="3">
        <f>ROUND(Tabla2[[#This Row],[P GRAN MAYOR (30)]]/0.8,0)</f>
        <v>31250</v>
      </c>
      <c r="K6" s="8">
        <f>ROUND(Tabla2[[#This Row],[P POR MAYOR (20)]]/(1-0.375),0)</f>
        <v>50000</v>
      </c>
      <c r="Q6"/>
    </row>
    <row r="7" spans="4:17" ht="17" x14ac:dyDescent="0.2">
      <c r="D7" s="1" t="s">
        <v>148</v>
      </c>
      <c r="E7" s="2" t="s">
        <v>149</v>
      </c>
      <c r="F7" t="s">
        <v>131</v>
      </c>
      <c r="G7" s="2"/>
      <c r="H7" s="2" t="s">
        <v>319</v>
      </c>
      <c r="I7" s="3">
        <f>ROUND(Tabla2[[#This Row],[COSTO]]/0.7,0)</f>
        <v>16914</v>
      </c>
      <c r="J7" s="3">
        <f>ROUND(Tabla2[[#This Row],[P GRAN MAYOR (30)]]/0.8,0)</f>
        <v>21143</v>
      </c>
      <c r="K7" s="8">
        <f>ROUND(Tabla2[[#This Row],[P POR MAYOR (20)]]/(1-0.375),0)</f>
        <v>33829</v>
      </c>
      <c r="Q7"/>
    </row>
    <row r="8" spans="4:17" ht="34" x14ac:dyDescent="0.2">
      <c r="D8" s="1" t="s">
        <v>150</v>
      </c>
      <c r="E8" s="2" t="s">
        <v>151</v>
      </c>
      <c r="F8" t="s">
        <v>133</v>
      </c>
      <c r="G8" s="2" t="s">
        <v>307</v>
      </c>
      <c r="H8" s="2" t="s">
        <v>316</v>
      </c>
      <c r="I8" s="3">
        <f>ROUND(Tabla2[[#This Row],[COSTO]]/0.7,0)</f>
        <v>18000</v>
      </c>
      <c r="J8" s="3">
        <f>ROUND(Tabla2[[#This Row],[P GRAN MAYOR (30)]]/0.8,0)</f>
        <v>22500</v>
      </c>
      <c r="K8" s="8">
        <f>ROUND(Tabla2[[#This Row],[P POR MAYOR (20)]]/(1-0.375),0)</f>
        <v>36000</v>
      </c>
      <c r="Q8"/>
    </row>
    <row r="9" spans="4:17" ht="34" x14ac:dyDescent="0.2">
      <c r="D9" s="1" t="s">
        <v>152</v>
      </c>
      <c r="E9" s="2" t="s">
        <v>153</v>
      </c>
      <c r="F9" t="s">
        <v>131</v>
      </c>
      <c r="G9" s="2" t="s">
        <v>116</v>
      </c>
      <c r="H9" s="2" t="s">
        <v>1669</v>
      </c>
      <c r="I9" s="3">
        <f>ROUND(Tabla2[[#This Row],[COSTO]]/0.7,0)</f>
        <v>29400</v>
      </c>
      <c r="J9" s="3">
        <f>ROUND(Tabla2[[#This Row],[P GRAN MAYOR (30)]]/0.8,0)</f>
        <v>36750</v>
      </c>
      <c r="K9" s="8">
        <f>ROUND(Tabla2[[#This Row],[P POR MAYOR (20)]]/(1-0.375),0)</f>
        <v>58800</v>
      </c>
      <c r="Q9"/>
    </row>
    <row r="10" spans="4:17" ht="34" x14ac:dyDescent="0.2">
      <c r="D10" s="1" t="s">
        <v>154</v>
      </c>
      <c r="E10" s="2" t="s">
        <v>155</v>
      </c>
      <c r="F10" t="s">
        <v>131</v>
      </c>
      <c r="G10" s="2" t="s">
        <v>116</v>
      </c>
      <c r="H10" s="2" t="s">
        <v>320</v>
      </c>
      <c r="I10" s="3">
        <f>ROUND(Tabla2[[#This Row],[COSTO]]/0.7,0)</f>
        <v>17371</v>
      </c>
      <c r="J10" s="3">
        <f>ROUND(Tabla2[[#This Row],[P GRAN MAYOR (30)]]/0.8,0)</f>
        <v>21714</v>
      </c>
      <c r="K10" s="8">
        <f>ROUND(Tabla2[[#This Row],[P POR MAYOR (20)]]/(1-0.375),0)</f>
        <v>34742</v>
      </c>
      <c r="Q10"/>
    </row>
    <row r="11" spans="4:17" ht="17" x14ac:dyDescent="0.2">
      <c r="D11" s="1" t="s">
        <v>156</v>
      </c>
      <c r="E11" s="2" t="s">
        <v>157</v>
      </c>
      <c r="F11" t="s">
        <v>133</v>
      </c>
      <c r="G11" s="2" t="s">
        <v>308</v>
      </c>
      <c r="H11" s="2" t="s">
        <v>315</v>
      </c>
      <c r="I11" s="3">
        <f>ROUND(Tabla2[[#This Row],[COSTO]]/0.7,0)</f>
        <v>25000</v>
      </c>
      <c r="J11" s="3">
        <f>ROUND(Tabla2[[#This Row],[P GRAN MAYOR (30)]]/0.8,0)</f>
        <v>31250</v>
      </c>
      <c r="K11" s="8">
        <f>ROUND(Tabla2[[#This Row],[P POR MAYOR (20)]]/(1-0.375),0)</f>
        <v>50000</v>
      </c>
      <c r="Q11"/>
    </row>
    <row r="12" spans="4:17" ht="17" x14ac:dyDescent="0.2">
      <c r="D12" s="1" t="s">
        <v>158</v>
      </c>
      <c r="E12" s="2" t="s">
        <v>159</v>
      </c>
      <c r="F12" t="s">
        <v>131</v>
      </c>
      <c r="G12" s="2" t="s">
        <v>116</v>
      </c>
      <c r="H12" s="2" t="s">
        <v>322</v>
      </c>
      <c r="I12" s="3">
        <f>ROUND(Tabla2[[#This Row],[COSTO]]/0.7,0)</f>
        <v>23786</v>
      </c>
      <c r="J12" s="3">
        <f>ROUND(Tabla2[[#This Row],[P GRAN MAYOR (30)]]/0.8,0)</f>
        <v>29733</v>
      </c>
      <c r="K12" s="8">
        <f>ROUND(Tabla2[[#This Row],[P POR MAYOR (20)]]/(1-0.375),0)</f>
        <v>47573</v>
      </c>
      <c r="Q12"/>
    </row>
    <row r="13" spans="4:17" ht="34" x14ac:dyDescent="0.2">
      <c r="D13" s="1" t="s">
        <v>160</v>
      </c>
      <c r="E13" s="2" t="s">
        <v>161</v>
      </c>
      <c r="F13" t="s">
        <v>131</v>
      </c>
      <c r="G13" s="2" t="s">
        <v>116</v>
      </c>
      <c r="H13" s="2" t="s">
        <v>320</v>
      </c>
      <c r="I13" s="3">
        <f>ROUND(Tabla2[[#This Row],[COSTO]]/0.7,0)</f>
        <v>17371</v>
      </c>
      <c r="J13" s="3">
        <f>ROUND(Tabla2[[#This Row],[P GRAN MAYOR (30)]]/0.8,0)</f>
        <v>21714</v>
      </c>
      <c r="K13" s="8">
        <f>ROUND(Tabla2[[#This Row],[P POR MAYOR (20)]]/(1-0.375),0)</f>
        <v>34742</v>
      </c>
      <c r="Q13"/>
    </row>
    <row r="14" spans="4:17" ht="51" x14ac:dyDescent="0.2">
      <c r="D14" s="1" t="s">
        <v>162</v>
      </c>
      <c r="E14" s="2" t="s">
        <v>163</v>
      </c>
      <c r="F14" t="s">
        <v>131</v>
      </c>
      <c r="G14" s="2" t="s">
        <v>116</v>
      </c>
      <c r="H14" s="2" t="s">
        <v>338</v>
      </c>
      <c r="I14" s="3">
        <f>ROUND(Tabla2[[#This Row],[COSTO]]/0.7,0)</f>
        <v>31086</v>
      </c>
      <c r="J14" s="3">
        <f>ROUND(Tabla2[[#This Row],[P GRAN MAYOR (30)]]/0.8,0)</f>
        <v>38858</v>
      </c>
      <c r="K14" s="8">
        <f>ROUND(Tabla2[[#This Row],[P POR MAYOR (20)]]/(1-0.375),0)</f>
        <v>62173</v>
      </c>
      <c r="Q14"/>
    </row>
    <row r="15" spans="4:17" ht="17" x14ac:dyDescent="0.2">
      <c r="D15" s="1" t="s">
        <v>164</v>
      </c>
      <c r="E15" s="2" t="s">
        <v>165</v>
      </c>
      <c r="F15" t="s">
        <v>131</v>
      </c>
      <c r="G15" s="2" t="s">
        <v>116</v>
      </c>
      <c r="H15" s="2" t="s">
        <v>323</v>
      </c>
      <c r="I15" s="3">
        <f>ROUND(Tabla2[[#This Row],[COSTO]]/0.7,0)</f>
        <v>17829</v>
      </c>
      <c r="J15" s="3">
        <f>ROUND(Tabla2[[#This Row],[P GRAN MAYOR (30)]]/0.8,0)</f>
        <v>22286</v>
      </c>
      <c r="K15" s="8">
        <f>ROUND(Tabla2[[#This Row],[P POR MAYOR (20)]]/(1-0.375),0)</f>
        <v>35658</v>
      </c>
      <c r="Q15"/>
    </row>
    <row r="16" spans="4:17" ht="34" x14ac:dyDescent="0.2">
      <c r="D16" s="1" t="s">
        <v>166</v>
      </c>
      <c r="E16" s="2" t="s">
        <v>167</v>
      </c>
      <c r="F16" t="s">
        <v>131</v>
      </c>
      <c r="G16" s="2" t="s">
        <v>116</v>
      </c>
      <c r="H16" s="2" t="s">
        <v>1670</v>
      </c>
      <c r="I16" s="3">
        <f>ROUND(Tabla2[[#This Row],[COSTO]]/0.7,0)</f>
        <v>24600</v>
      </c>
      <c r="J16" s="3">
        <f>ROUND(Tabla2[[#This Row],[P GRAN MAYOR (30)]]/0.8,0)</f>
        <v>30750</v>
      </c>
      <c r="K16" s="8">
        <f>ROUND(Tabla2[[#This Row],[P POR MAYOR (20)]]/(1-0.375),0)</f>
        <v>49200</v>
      </c>
      <c r="Q16"/>
    </row>
    <row r="17" spans="4:17" ht="34" x14ac:dyDescent="0.2">
      <c r="D17" s="1" t="s">
        <v>168</v>
      </c>
      <c r="E17" s="2" t="s">
        <v>169</v>
      </c>
      <c r="F17" t="s">
        <v>131</v>
      </c>
      <c r="G17" s="2" t="s">
        <v>116</v>
      </c>
      <c r="H17" s="2" t="s">
        <v>321</v>
      </c>
      <c r="I17" s="3">
        <f>ROUND(Tabla2[[#This Row],[COSTO]]/0.7,0)</f>
        <v>9143</v>
      </c>
      <c r="J17" s="3">
        <f>ROUND(Tabla2[[#This Row],[P GRAN MAYOR (30)]]/0.8,0)</f>
        <v>11429</v>
      </c>
      <c r="K17" s="8">
        <f>ROUND(Tabla2[[#This Row],[P POR MAYOR (20)]]/(1-0.375),0)</f>
        <v>18286</v>
      </c>
      <c r="Q17"/>
    </row>
    <row r="18" spans="4:17" ht="17" x14ac:dyDescent="0.2">
      <c r="D18" s="1" t="s">
        <v>170</v>
      </c>
      <c r="E18" s="2" t="s">
        <v>171</v>
      </c>
      <c r="F18" t="s">
        <v>131</v>
      </c>
      <c r="G18" s="2" t="s">
        <v>116</v>
      </c>
      <c r="H18" s="2" t="s">
        <v>324</v>
      </c>
      <c r="I18" s="3">
        <f>ROUND(Tabla2[[#This Row],[COSTO]]/0.7,0)</f>
        <v>12343</v>
      </c>
      <c r="J18" s="3">
        <f>ROUND(Tabla2[[#This Row],[P GRAN MAYOR (30)]]/0.8,0)</f>
        <v>15429</v>
      </c>
      <c r="K18" s="8">
        <f>ROUND(Tabla2[[#This Row],[P POR MAYOR (20)]]/(1-0.375),0)</f>
        <v>24686</v>
      </c>
      <c r="Q18"/>
    </row>
    <row r="19" spans="4:17" ht="34" x14ac:dyDescent="0.2">
      <c r="D19" s="1" t="s">
        <v>172</v>
      </c>
      <c r="E19" s="2" t="s">
        <v>173</v>
      </c>
      <c r="F19" t="s">
        <v>131</v>
      </c>
      <c r="G19" s="2" t="s">
        <v>116</v>
      </c>
      <c r="H19" s="2" t="s">
        <v>325</v>
      </c>
      <c r="I19" s="3">
        <f>ROUND(Tabla2[[#This Row],[COSTO]]/0.7,0)</f>
        <v>27429</v>
      </c>
      <c r="J19" s="3">
        <f>ROUND(Tabla2[[#This Row],[P GRAN MAYOR (30)]]/0.8,0)</f>
        <v>34286</v>
      </c>
      <c r="K19" s="8">
        <f>ROUND(Tabla2[[#This Row],[P POR MAYOR (20)]]/(1-0.375),0)</f>
        <v>54858</v>
      </c>
      <c r="Q19"/>
    </row>
    <row r="20" spans="4:17" ht="17" x14ac:dyDescent="0.2">
      <c r="D20" s="1" t="s">
        <v>174</v>
      </c>
      <c r="E20" s="2" t="s">
        <v>175</v>
      </c>
      <c r="F20" t="s">
        <v>131</v>
      </c>
      <c r="G20" s="2" t="s">
        <v>116</v>
      </c>
      <c r="H20" s="2" t="s">
        <v>326</v>
      </c>
      <c r="I20" s="3">
        <f>ROUND(Tabla2[[#This Row],[COSTO]]/0.7,0)</f>
        <v>42971</v>
      </c>
      <c r="J20" s="3">
        <f>ROUND(Tabla2[[#This Row],[P GRAN MAYOR (30)]]/0.8,0)</f>
        <v>53714</v>
      </c>
      <c r="K20" s="8">
        <f>ROUND(Tabla2[[#This Row],[P POR MAYOR (20)]]/(1-0.375),0)</f>
        <v>85942</v>
      </c>
      <c r="Q20"/>
    </row>
    <row r="21" spans="4:17" ht="34" x14ac:dyDescent="0.2">
      <c r="D21" s="1" t="s">
        <v>176</v>
      </c>
      <c r="E21" s="2" t="s">
        <v>177</v>
      </c>
      <c r="F21" t="s">
        <v>132</v>
      </c>
      <c r="G21" s="2" t="s">
        <v>327</v>
      </c>
      <c r="H21" s="2" t="s">
        <v>317</v>
      </c>
      <c r="I21" s="3">
        <f>ROUND(Tabla2[[#This Row],[COSTO]]/0.7,0)</f>
        <v>61714</v>
      </c>
      <c r="J21" s="3">
        <f>ROUND(Tabla2[[#This Row],[P GRAN MAYOR (30)]]/0.8,0)</f>
        <v>77143</v>
      </c>
      <c r="K21" s="8">
        <f>ROUND(Tabla2[[#This Row],[P POR MAYOR (20)]]/(1-0.375),0)</f>
        <v>123429</v>
      </c>
      <c r="Q21"/>
    </row>
    <row r="22" spans="4:17" ht="30" x14ac:dyDescent="0.2">
      <c r="D22" s="1" t="s">
        <v>178</v>
      </c>
      <c r="E22" s="1" t="s">
        <v>179</v>
      </c>
      <c r="F22" t="s">
        <v>131</v>
      </c>
      <c r="G22" s="2" t="s">
        <v>116</v>
      </c>
      <c r="H22" s="2" t="s">
        <v>339</v>
      </c>
      <c r="I22" s="3">
        <f>ROUND(Tabla2[[#This Row],[COSTO]]/0.7,0)</f>
        <v>15086</v>
      </c>
      <c r="J22" s="3">
        <f>ROUND(Tabla2[[#This Row],[P GRAN MAYOR (30)]]/0.8,0)</f>
        <v>18858</v>
      </c>
      <c r="K22" s="8">
        <f>ROUND(Tabla2[[#This Row],[P POR MAYOR (20)]]/(1-0.375),0)</f>
        <v>30173</v>
      </c>
      <c r="Q22"/>
    </row>
    <row r="23" spans="4:17" ht="17" x14ac:dyDescent="0.2">
      <c r="D23" s="1" t="s">
        <v>180</v>
      </c>
      <c r="E23" s="1" t="s">
        <v>181</v>
      </c>
      <c r="F23" t="s">
        <v>131</v>
      </c>
      <c r="G23" s="2" t="s">
        <v>116</v>
      </c>
      <c r="H23" s="2" t="s">
        <v>328</v>
      </c>
      <c r="I23" s="3">
        <f>ROUND(Tabla2[[#This Row],[COSTO]]/0.7,0)</f>
        <v>19657</v>
      </c>
      <c r="J23" s="3">
        <f>ROUND(Tabla2[[#This Row],[P GRAN MAYOR (30)]]/0.8,0)</f>
        <v>24571</v>
      </c>
      <c r="K23" s="8">
        <f>ROUND(Tabla2[[#This Row],[P POR MAYOR (20)]]/(1-0.375),0)</f>
        <v>39314</v>
      </c>
      <c r="Q23"/>
    </row>
    <row r="24" spans="4:17" ht="17" x14ac:dyDescent="0.2">
      <c r="D24" s="1" t="s">
        <v>182</v>
      </c>
      <c r="E24" s="2" t="s">
        <v>183</v>
      </c>
      <c r="F24" t="s">
        <v>132</v>
      </c>
      <c r="G24" s="2" t="s">
        <v>309</v>
      </c>
      <c r="H24" s="2" t="s">
        <v>317</v>
      </c>
      <c r="I24" s="3">
        <f>ROUND(Tabla2[[#This Row],[COSTO]]/0.7,0)</f>
        <v>61714</v>
      </c>
      <c r="J24" s="3">
        <f>ROUND(Tabla2[[#This Row],[P GRAN MAYOR (30)]]/0.8,0)</f>
        <v>77143</v>
      </c>
      <c r="K24" s="8">
        <f>ROUND(Tabla2[[#This Row],[P POR MAYOR (20)]]/(1-0.375),0)</f>
        <v>123429</v>
      </c>
      <c r="Q24"/>
    </row>
    <row r="25" spans="4:17" ht="17" x14ac:dyDescent="0.2">
      <c r="D25" s="1" t="s">
        <v>184</v>
      </c>
      <c r="E25" s="2" t="s">
        <v>185</v>
      </c>
      <c r="F25" t="s">
        <v>132</v>
      </c>
      <c r="G25" s="2" t="s">
        <v>310</v>
      </c>
      <c r="H25" s="2" t="s">
        <v>318</v>
      </c>
      <c r="I25" s="3">
        <f>ROUND(Tabla2[[#This Row],[COSTO]]/0.7,0)</f>
        <v>36000</v>
      </c>
      <c r="J25" s="3">
        <f>ROUND(Tabla2[[#This Row],[P GRAN MAYOR (30)]]/0.8,0)</f>
        <v>45000</v>
      </c>
      <c r="K25" s="8">
        <f>ROUND(Tabla2[[#This Row],[P POR MAYOR (20)]]/(1-0.375),0)</f>
        <v>72000</v>
      </c>
      <c r="Q25"/>
    </row>
    <row r="26" spans="4:17" ht="17" x14ac:dyDescent="0.2">
      <c r="D26" s="1" t="s">
        <v>186</v>
      </c>
      <c r="E26" s="1" t="s">
        <v>187</v>
      </c>
      <c r="F26" t="s">
        <v>131</v>
      </c>
      <c r="G26" s="2" t="s">
        <v>116</v>
      </c>
      <c r="H26" s="2" t="s">
        <v>340</v>
      </c>
      <c r="I26" s="3">
        <f>ROUND(Tabla2[[#This Row],[COSTO]]/0.7,0)</f>
        <v>10971</v>
      </c>
      <c r="J26" s="3">
        <f>ROUND(Tabla2[[#This Row],[P GRAN MAYOR (30)]]/0.8,0)</f>
        <v>13714</v>
      </c>
      <c r="K26" s="8">
        <f>ROUND(Tabla2[[#This Row],[P POR MAYOR (20)]]/(1-0.375),0)</f>
        <v>21942</v>
      </c>
      <c r="Q26"/>
    </row>
    <row r="27" spans="4:17" ht="17" x14ac:dyDescent="0.2">
      <c r="D27" s="1" t="s">
        <v>188</v>
      </c>
      <c r="E27" s="1" t="s">
        <v>189</v>
      </c>
      <c r="F27" t="s">
        <v>131</v>
      </c>
      <c r="G27" s="2" t="s">
        <v>116</v>
      </c>
      <c r="H27" s="2" t="s">
        <v>328</v>
      </c>
      <c r="I27" s="3">
        <f>ROUND(Tabla2[[#This Row],[COSTO]]/0.7,0)</f>
        <v>19657</v>
      </c>
      <c r="J27" s="3">
        <f>ROUND(Tabla2[[#This Row],[P GRAN MAYOR (30)]]/0.8,0)</f>
        <v>24571</v>
      </c>
      <c r="K27" s="8">
        <f>ROUND(Tabla2[[#This Row],[P POR MAYOR (20)]]/(1-0.375),0)</f>
        <v>39314</v>
      </c>
      <c r="Q27"/>
    </row>
    <row r="28" spans="4:17" ht="34" x14ac:dyDescent="0.2">
      <c r="D28" s="1" t="s">
        <v>190</v>
      </c>
      <c r="E28" s="2" t="s">
        <v>191</v>
      </c>
      <c r="F28" t="s">
        <v>131</v>
      </c>
      <c r="G28" s="2" t="s">
        <v>116</v>
      </c>
      <c r="H28" s="2"/>
      <c r="I28" s="3">
        <f>ROUND(Tabla2[[#This Row],[COSTO]]/0.7,0)</f>
        <v>0</v>
      </c>
      <c r="J28" s="3">
        <f>ROUND(Tabla2[[#This Row],[P GRAN MAYOR (30)]]/0.8,0)</f>
        <v>0</v>
      </c>
      <c r="K28" s="8">
        <f>ROUND(Tabla2[[#This Row],[P POR MAYOR (20)]]/(1-0.375),0)</f>
        <v>0</v>
      </c>
      <c r="Q28"/>
    </row>
    <row r="29" spans="4:17" ht="17" x14ac:dyDescent="0.2">
      <c r="D29" s="1" t="s">
        <v>192</v>
      </c>
      <c r="E29" s="1" t="s">
        <v>193</v>
      </c>
      <c r="F29" t="s">
        <v>133</v>
      </c>
      <c r="G29" s="2" t="s">
        <v>311</v>
      </c>
      <c r="H29" s="2" t="s">
        <v>315</v>
      </c>
      <c r="I29" s="3">
        <f>ROUND(Tabla2[[#This Row],[COSTO]]/0.7,0)</f>
        <v>25000</v>
      </c>
      <c r="J29" s="3">
        <f>ROUND(Tabla2[[#This Row],[P GRAN MAYOR (30)]]/0.8,0)</f>
        <v>31250</v>
      </c>
      <c r="K29" s="8">
        <f>ROUND(Tabla2[[#This Row],[P POR MAYOR (20)]]/(1-0.375),0)</f>
        <v>50000</v>
      </c>
      <c r="Q29"/>
    </row>
    <row r="30" spans="4:17" ht="34" x14ac:dyDescent="0.2">
      <c r="D30" s="1" t="s">
        <v>194</v>
      </c>
      <c r="E30" s="2" t="s">
        <v>195</v>
      </c>
      <c r="F30" t="s">
        <v>131</v>
      </c>
      <c r="G30" s="2" t="s">
        <v>116</v>
      </c>
      <c r="H30" s="2" t="s">
        <v>341</v>
      </c>
      <c r="I30" s="3">
        <f>ROUND(Tabla2[[#This Row],[COSTO]]/0.7,0)</f>
        <v>30629</v>
      </c>
      <c r="J30" s="3">
        <f>ROUND(Tabla2[[#This Row],[P GRAN MAYOR (30)]]/0.8,0)</f>
        <v>38286</v>
      </c>
      <c r="K30" s="8">
        <f>ROUND(Tabla2[[#This Row],[P POR MAYOR (20)]]/(1-0.375),0)</f>
        <v>61258</v>
      </c>
      <c r="Q30"/>
    </row>
    <row r="31" spans="4:17" ht="34" x14ac:dyDescent="0.2">
      <c r="D31" s="1" t="s">
        <v>196</v>
      </c>
      <c r="E31" s="2" t="s">
        <v>197</v>
      </c>
      <c r="F31" t="s">
        <v>131</v>
      </c>
      <c r="G31" s="2" t="s">
        <v>116</v>
      </c>
      <c r="H31" s="2" t="s">
        <v>335</v>
      </c>
      <c r="I31" s="3">
        <f>ROUND(Tabla2[[#This Row],[COSTO]]/0.7,0)</f>
        <v>21943</v>
      </c>
      <c r="J31" s="3">
        <f>ROUND(Tabla2[[#This Row],[P GRAN MAYOR (30)]]/0.8,0)</f>
        <v>27429</v>
      </c>
      <c r="K31" s="8">
        <f>ROUND(Tabla2[[#This Row],[P POR MAYOR (20)]]/(1-0.375),0)</f>
        <v>43886</v>
      </c>
      <c r="Q31"/>
    </row>
    <row r="32" spans="4:17" ht="34" x14ac:dyDescent="0.2">
      <c r="D32" s="1" t="s">
        <v>198</v>
      </c>
      <c r="E32" s="2" t="s">
        <v>199</v>
      </c>
      <c r="F32" t="s">
        <v>131</v>
      </c>
      <c r="G32" s="2" t="s">
        <v>116</v>
      </c>
      <c r="H32" s="2"/>
      <c r="I32" s="3">
        <f>ROUND(Tabla2[[#This Row],[COSTO]]/0.7,0)</f>
        <v>0</v>
      </c>
      <c r="J32" s="3">
        <f>ROUND(Tabla2[[#This Row],[P GRAN MAYOR (30)]]/0.8,0)</f>
        <v>0</v>
      </c>
      <c r="K32" s="8">
        <f>ROUND(Tabla2[[#This Row],[P POR MAYOR (20)]]/(1-0.375),0)</f>
        <v>0</v>
      </c>
      <c r="Q32"/>
    </row>
    <row r="33" spans="4:17" ht="17" x14ac:dyDescent="0.2">
      <c r="D33" s="1" t="s">
        <v>200</v>
      </c>
      <c r="E33" s="2" t="s">
        <v>201</v>
      </c>
      <c r="F33" t="s">
        <v>131</v>
      </c>
      <c r="G33" s="2" t="s">
        <v>116</v>
      </c>
      <c r="H33" s="2" t="s">
        <v>1672</v>
      </c>
      <c r="I33" s="3">
        <f>ROUND(Tabla2[[#This Row],[COSTO]]/0.7,0)</f>
        <v>27000</v>
      </c>
      <c r="J33" s="3">
        <f>ROUND(Tabla2[[#This Row],[P GRAN MAYOR (30)]]/0.8,0)</f>
        <v>33750</v>
      </c>
      <c r="K33" s="8">
        <f>ROUND(Tabla2[[#This Row],[P POR MAYOR (20)]]/(1-0.375),0)</f>
        <v>54000</v>
      </c>
      <c r="Q33"/>
    </row>
    <row r="34" spans="4:17" ht="34" x14ac:dyDescent="0.2">
      <c r="D34" s="1" t="s">
        <v>202</v>
      </c>
      <c r="E34" s="2" t="s">
        <v>203</v>
      </c>
      <c r="F34" t="s">
        <v>131</v>
      </c>
      <c r="G34" s="2" t="s">
        <v>116</v>
      </c>
      <c r="H34" s="2" t="s">
        <v>342</v>
      </c>
      <c r="I34" s="3">
        <f>ROUND(Tabla2[[#This Row],[COSTO]]/0.7,0)</f>
        <v>27886</v>
      </c>
      <c r="J34" s="3">
        <f>ROUND(Tabla2[[#This Row],[P GRAN MAYOR (30)]]/0.8,0)</f>
        <v>34858</v>
      </c>
      <c r="K34" s="8">
        <f>ROUND(Tabla2[[#This Row],[P POR MAYOR (20)]]/(1-0.375),0)</f>
        <v>55773</v>
      </c>
      <c r="Q34"/>
    </row>
    <row r="35" spans="4:17" ht="17" x14ac:dyDescent="0.2">
      <c r="D35" s="1" t="s">
        <v>204</v>
      </c>
      <c r="E35" s="2" t="s">
        <v>205</v>
      </c>
      <c r="F35" t="s">
        <v>133</v>
      </c>
      <c r="G35" s="2" t="s">
        <v>312</v>
      </c>
      <c r="H35" s="2" t="s">
        <v>316</v>
      </c>
      <c r="I35" s="3">
        <f>ROUND(Tabla2[[#This Row],[COSTO]]/0.7,0)</f>
        <v>18000</v>
      </c>
      <c r="J35" s="3">
        <f>ROUND(Tabla2[[#This Row],[P GRAN MAYOR (30)]]/0.8,0)</f>
        <v>22500</v>
      </c>
      <c r="K35" s="8">
        <f>ROUND(Tabla2[[#This Row],[P POR MAYOR (20)]]/(1-0.375),0)</f>
        <v>36000</v>
      </c>
      <c r="Q35"/>
    </row>
    <row r="36" spans="4:17" ht="34" x14ac:dyDescent="0.2">
      <c r="D36" s="1" t="s">
        <v>206</v>
      </c>
      <c r="E36" s="2" t="s">
        <v>207</v>
      </c>
      <c r="F36" t="s">
        <v>133</v>
      </c>
      <c r="G36" s="2" t="s">
        <v>313</v>
      </c>
      <c r="H36" s="2" t="s">
        <v>316</v>
      </c>
      <c r="I36" s="3">
        <f>ROUND(Tabla2[[#This Row],[COSTO]]/0.7,0)</f>
        <v>18000</v>
      </c>
      <c r="J36" s="3">
        <f>ROUND(Tabla2[[#This Row],[P GRAN MAYOR (30)]]/0.8,0)</f>
        <v>22500</v>
      </c>
      <c r="K36" s="8">
        <f>ROUND(Tabla2[[#This Row],[P POR MAYOR (20)]]/(1-0.375),0)</f>
        <v>36000</v>
      </c>
      <c r="Q36"/>
    </row>
    <row r="37" spans="4:17" ht="30" x14ac:dyDescent="0.2">
      <c r="D37" s="1" t="s">
        <v>208</v>
      </c>
      <c r="E37" s="1" t="s">
        <v>209</v>
      </c>
      <c r="F37" t="s">
        <v>131</v>
      </c>
      <c r="G37" s="2" t="s">
        <v>116</v>
      </c>
      <c r="H37" s="2" t="s">
        <v>343</v>
      </c>
      <c r="I37" s="3">
        <f>ROUND(Tabla2[[#This Row],[COSTO]]/0.7,0)</f>
        <v>12800</v>
      </c>
      <c r="J37" s="3">
        <f>ROUND(Tabla2[[#This Row],[P GRAN MAYOR (30)]]/0.8,0)</f>
        <v>16000</v>
      </c>
      <c r="K37" s="8">
        <f>ROUND(Tabla2[[#This Row],[P POR MAYOR (20)]]/(1-0.375),0)</f>
        <v>25600</v>
      </c>
      <c r="Q37"/>
    </row>
    <row r="38" spans="4:17" ht="17" x14ac:dyDescent="0.2">
      <c r="D38" s="1" t="s">
        <v>210</v>
      </c>
      <c r="E38" s="2" t="s">
        <v>211</v>
      </c>
      <c r="F38" t="s">
        <v>131</v>
      </c>
      <c r="G38" s="2" t="s">
        <v>116</v>
      </c>
      <c r="H38" s="2"/>
      <c r="I38" s="3">
        <f>ROUND(Tabla2[[#This Row],[COSTO]]/0.7,0)</f>
        <v>0</v>
      </c>
      <c r="J38" s="3">
        <f>ROUND(Tabla2[[#This Row],[P GRAN MAYOR (30)]]/0.8,0)</f>
        <v>0</v>
      </c>
      <c r="K38" s="8">
        <f>ROUND(Tabla2[[#This Row],[P POR MAYOR (20)]]/(1-0.375),0)</f>
        <v>0</v>
      </c>
      <c r="Q38"/>
    </row>
    <row r="39" spans="4:17" ht="34" x14ac:dyDescent="0.2">
      <c r="D39" s="1" t="s">
        <v>212</v>
      </c>
      <c r="E39" s="2" t="s">
        <v>213</v>
      </c>
      <c r="F39" t="s">
        <v>131</v>
      </c>
      <c r="G39" s="2" t="s">
        <v>116</v>
      </c>
      <c r="H39" s="2" t="s">
        <v>1663</v>
      </c>
      <c r="I39" s="3">
        <f>ROUND(Tabla2[[#This Row],[COSTO]]/0.7,0)</f>
        <v>14657</v>
      </c>
      <c r="J39" s="3">
        <f>ROUND(Tabla2[[#This Row],[P GRAN MAYOR (30)]]/0.8,0)</f>
        <v>18321</v>
      </c>
      <c r="K39" s="8">
        <f>ROUND(Tabla2[[#This Row],[P POR MAYOR (20)]]/(1-0.375),0)</f>
        <v>29314</v>
      </c>
      <c r="Q39"/>
    </row>
    <row r="40" spans="4:17" ht="17" x14ac:dyDescent="0.2">
      <c r="D40" s="1" t="s">
        <v>214</v>
      </c>
      <c r="E40" s="2" t="s">
        <v>215</v>
      </c>
      <c r="F40" t="s">
        <v>131</v>
      </c>
      <c r="G40" s="2" t="s">
        <v>116</v>
      </c>
      <c r="H40" s="2" t="s">
        <v>1671</v>
      </c>
      <c r="I40" s="3">
        <f>ROUND(Tabla2[[#This Row],[COSTO]]/0.7,0)</f>
        <v>23400</v>
      </c>
      <c r="J40" s="3">
        <f>ROUND(Tabla2[[#This Row],[P GRAN MAYOR (30)]]/0.8,0)</f>
        <v>29250</v>
      </c>
      <c r="K40" s="8">
        <f>ROUND(Tabla2[[#This Row],[P POR MAYOR (20)]]/(1-0.375),0)</f>
        <v>46800</v>
      </c>
      <c r="Q40"/>
    </row>
    <row r="41" spans="4:17" ht="17" x14ac:dyDescent="0.2">
      <c r="D41" s="1" t="s">
        <v>216</v>
      </c>
      <c r="E41" s="1" t="s">
        <v>217</v>
      </c>
      <c r="F41" t="s">
        <v>131</v>
      </c>
      <c r="G41" s="2" t="s">
        <v>116</v>
      </c>
      <c r="H41" s="2" t="s">
        <v>344</v>
      </c>
      <c r="I41" s="3">
        <f>ROUND(Tabla2[[#This Row],[COSTO]]/0.7,0)</f>
        <v>10514</v>
      </c>
      <c r="J41" s="3">
        <f>ROUND(Tabla2[[#This Row],[P GRAN MAYOR (30)]]/0.8,0)</f>
        <v>13143</v>
      </c>
      <c r="K41" s="8">
        <f>ROUND(Tabla2[[#This Row],[P POR MAYOR (20)]]/(1-0.375),0)</f>
        <v>21029</v>
      </c>
      <c r="Q41"/>
    </row>
    <row r="42" spans="4:17" ht="34" x14ac:dyDescent="0.2">
      <c r="D42" s="1" t="s">
        <v>218</v>
      </c>
      <c r="E42" s="2" t="s">
        <v>219</v>
      </c>
      <c r="F42" t="s">
        <v>131</v>
      </c>
      <c r="G42" s="2" t="s">
        <v>116</v>
      </c>
      <c r="H42" s="2" t="s">
        <v>345</v>
      </c>
      <c r="I42" s="3">
        <f>ROUND(Tabla2[[#This Row],[COSTO]]/0.7,0)</f>
        <v>26971</v>
      </c>
      <c r="J42" s="3">
        <f>ROUND(Tabla2[[#This Row],[P GRAN MAYOR (30)]]/0.8,0)</f>
        <v>33714</v>
      </c>
      <c r="K42" s="8">
        <f>ROUND(Tabla2[[#This Row],[P POR MAYOR (20)]]/(1-0.375),0)</f>
        <v>53942</v>
      </c>
      <c r="Q42"/>
    </row>
    <row r="43" spans="4:17" ht="17" x14ac:dyDescent="0.2">
      <c r="D43" s="1" t="s">
        <v>220</v>
      </c>
      <c r="E43" s="2" t="s">
        <v>221</v>
      </c>
      <c r="F43" t="s">
        <v>131</v>
      </c>
      <c r="G43" s="2" t="s">
        <v>116</v>
      </c>
      <c r="H43" s="2" t="s">
        <v>346</v>
      </c>
      <c r="I43" s="3">
        <f>ROUND(Tabla2[[#This Row],[COSTO]]/0.7,0)</f>
        <v>38400</v>
      </c>
      <c r="J43" s="3">
        <f>ROUND(Tabla2[[#This Row],[P GRAN MAYOR (30)]]/0.8,0)</f>
        <v>48000</v>
      </c>
      <c r="K43" s="8">
        <f>ROUND(Tabla2[[#This Row],[P POR MAYOR (20)]]/(1-0.375),0)</f>
        <v>76800</v>
      </c>
      <c r="Q43"/>
    </row>
    <row r="44" spans="4:17" ht="34" x14ac:dyDescent="0.2">
      <c r="D44" s="1" t="s">
        <v>222</v>
      </c>
      <c r="E44" s="2" t="s">
        <v>223</v>
      </c>
      <c r="F44" t="s">
        <v>131</v>
      </c>
      <c r="G44" s="2" t="s">
        <v>116</v>
      </c>
      <c r="H44" s="2" t="s">
        <v>1664</v>
      </c>
      <c r="I44" s="3">
        <f>ROUND(Tabla2[[#This Row],[COSTO]]/0.7,0)</f>
        <v>23886</v>
      </c>
      <c r="J44" s="3">
        <f>ROUND(Tabla2[[#This Row],[P GRAN MAYOR (30)]]/0.8,0)</f>
        <v>29858</v>
      </c>
      <c r="K44" s="8">
        <f>ROUND(Tabla2[[#This Row],[P POR MAYOR (20)]]/(1-0.375),0)</f>
        <v>47773</v>
      </c>
      <c r="Q44"/>
    </row>
    <row r="45" spans="4:17" ht="34" x14ac:dyDescent="0.2">
      <c r="D45" s="1" t="s">
        <v>224</v>
      </c>
      <c r="E45" s="2" t="s">
        <v>225</v>
      </c>
      <c r="F45" t="s">
        <v>131</v>
      </c>
      <c r="G45" s="2" t="s">
        <v>116</v>
      </c>
      <c r="H45" s="2" t="s">
        <v>1491</v>
      </c>
      <c r="I45" s="3">
        <f>ROUND(Tabla2[[#This Row],[COSTO]]/0.7,0)</f>
        <v>25714</v>
      </c>
      <c r="J45" s="3">
        <f>ROUND(Tabla2[[#This Row],[P GRAN MAYOR (30)]]/0.8,0)</f>
        <v>32143</v>
      </c>
      <c r="K45" s="8">
        <f>ROUND(Tabla2[[#This Row],[P POR MAYOR (20)]]/(1-0.375),0)</f>
        <v>51429</v>
      </c>
      <c r="Q45"/>
    </row>
    <row r="46" spans="4:17" ht="34" x14ac:dyDescent="0.2">
      <c r="D46" s="1" t="s">
        <v>226</v>
      </c>
      <c r="E46" s="2" t="s">
        <v>227</v>
      </c>
      <c r="F46" t="s">
        <v>131</v>
      </c>
      <c r="G46" s="2" t="s">
        <v>116</v>
      </c>
      <c r="H46" s="2" t="s">
        <v>1672</v>
      </c>
      <c r="I46" s="3">
        <f>ROUND(Tabla2[[#This Row],[COSTO]]/0.7,0)</f>
        <v>27000</v>
      </c>
      <c r="J46" s="3">
        <f>ROUND(Tabla2[[#This Row],[P GRAN MAYOR (30)]]/0.8,0)</f>
        <v>33750</v>
      </c>
      <c r="K46" s="8">
        <f>ROUND(Tabla2[[#This Row],[P POR MAYOR (20)]]/(1-0.375),0)</f>
        <v>54000</v>
      </c>
      <c r="Q46"/>
    </row>
    <row r="47" spans="4:17" ht="17" x14ac:dyDescent="0.2">
      <c r="D47" s="1" t="s">
        <v>228</v>
      </c>
      <c r="E47" s="2" t="s">
        <v>229</v>
      </c>
      <c r="F47" t="s">
        <v>131</v>
      </c>
      <c r="G47" s="2" t="s">
        <v>116</v>
      </c>
      <c r="H47" s="2" t="s">
        <v>320</v>
      </c>
      <c r="I47" s="3">
        <f>ROUND(Tabla2[[#This Row],[COSTO]]/0.7,0)</f>
        <v>17371</v>
      </c>
      <c r="J47" s="3">
        <f>ROUND(Tabla2[[#This Row],[P GRAN MAYOR (30)]]/0.8,0)</f>
        <v>21714</v>
      </c>
      <c r="K47" s="8">
        <f>ROUND(Tabla2[[#This Row],[P POR MAYOR (20)]]/(1-0.375),0)</f>
        <v>34742</v>
      </c>
      <c r="Q47"/>
    </row>
    <row r="48" spans="4:17" ht="17" x14ac:dyDescent="0.2">
      <c r="D48" s="1" t="s">
        <v>230</v>
      </c>
      <c r="E48" s="2" t="s">
        <v>231</v>
      </c>
      <c r="F48" t="s">
        <v>131</v>
      </c>
      <c r="G48" s="2" t="s">
        <v>116</v>
      </c>
      <c r="H48" s="2" t="s">
        <v>1673</v>
      </c>
      <c r="I48" s="3">
        <f>ROUND(Tabla2[[#This Row],[COSTO]]/0.7,0)</f>
        <v>45000</v>
      </c>
      <c r="J48" s="3">
        <f>ROUND(Tabla2[[#This Row],[P GRAN MAYOR (30)]]/0.8,0)</f>
        <v>56250</v>
      </c>
      <c r="K48" s="8">
        <f>ROUND(Tabla2[[#This Row],[P POR MAYOR (20)]]/(1-0.375),0)</f>
        <v>90000</v>
      </c>
      <c r="Q48"/>
    </row>
    <row r="49" spans="4:17" ht="34" x14ac:dyDescent="0.2">
      <c r="D49" s="1" t="s">
        <v>232</v>
      </c>
      <c r="E49" s="2" t="s">
        <v>233</v>
      </c>
      <c r="F49" t="s">
        <v>131</v>
      </c>
      <c r="G49" s="2" t="s">
        <v>116</v>
      </c>
      <c r="H49" s="2" t="s">
        <v>341</v>
      </c>
      <c r="I49" s="3">
        <f>ROUND(Tabla2[[#This Row],[COSTO]]/0.7,0)</f>
        <v>30629</v>
      </c>
      <c r="J49" s="3">
        <f>ROUND(Tabla2[[#This Row],[P GRAN MAYOR (30)]]/0.8,0)</f>
        <v>38286</v>
      </c>
      <c r="K49" s="8">
        <f>ROUND(Tabla2[[#This Row],[P POR MAYOR (20)]]/(1-0.375),0)</f>
        <v>61258</v>
      </c>
      <c r="Q49"/>
    </row>
    <row r="50" spans="4:17" ht="30" x14ac:dyDescent="0.2">
      <c r="D50" s="1" t="s">
        <v>234</v>
      </c>
      <c r="E50" s="1" t="s">
        <v>235</v>
      </c>
      <c r="F50" t="s">
        <v>131</v>
      </c>
      <c r="G50" s="2" t="s">
        <v>116</v>
      </c>
      <c r="H50" s="2" t="s">
        <v>335</v>
      </c>
      <c r="I50" s="3">
        <f>ROUND(Tabla2[[#This Row],[COSTO]]/0.7,0)</f>
        <v>21943</v>
      </c>
      <c r="J50" s="3">
        <f>ROUND(Tabla2[[#This Row],[P GRAN MAYOR (30)]]/0.8,0)</f>
        <v>27429</v>
      </c>
      <c r="K50" s="8">
        <f>ROUND(Tabla2[[#This Row],[P POR MAYOR (20)]]/(1-0.375),0)</f>
        <v>43886</v>
      </c>
      <c r="Q50"/>
    </row>
    <row r="51" spans="4:17" ht="17" x14ac:dyDescent="0.2">
      <c r="D51" s="1" t="s">
        <v>236</v>
      </c>
      <c r="E51" s="2" t="s">
        <v>237</v>
      </c>
      <c r="F51" t="s">
        <v>131</v>
      </c>
      <c r="G51" s="2" t="s">
        <v>116</v>
      </c>
      <c r="H51" s="2"/>
      <c r="I51" s="3">
        <f>ROUND(Tabla2[[#This Row],[COSTO]]/0.7,0)</f>
        <v>0</v>
      </c>
      <c r="J51" s="3">
        <f>ROUND(Tabla2[[#This Row],[P GRAN MAYOR (30)]]/0.8,0)</f>
        <v>0</v>
      </c>
      <c r="K51" s="8">
        <f>ROUND(Tabla2[[#This Row],[P POR MAYOR (20)]]/(1-0.375),0)</f>
        <v>0</v>
      </c>
      <c r="Q51"/>
    </row>
    <row r="52" spans="4:17" ht="34" x14ac:dyDescent="0.2">
      <c r="D52" s="1" t="s">
        <v>238</v>
      </c>
      <c r="E52" s="2" t="s">
        <v>239</v>
      </c>
      <c r="F52" t="s">
        <v>131</v>
      </c>
      <c r="G52" s="2" t="s">
        <v>116</v>
      </c>
      <c r="H52" s="2" t="s">
        <v>347</v>
      </c>
      <c r="I52" s="3">
        <f>ROUND(Tabla2[[#This Row],[COSTO]]/0.7,0)</f>
        <v>39314</v>
      </c>
      <c r="J52" s="3">
        <f>ROUND(Tabla2[[#This Row],[P GRAN MAYOR (30)]]/0.8,0)</f>
        <v>49143</v>
      </c>
      <c r="K52" s="8">
        <f>ROUND(Tabla2[[#This Row],[P POR MAYOR (20)]]/(1-0.375),0)</f>
        <v>78629</v>
      </c>
      <c r="Q52"/>
    </row>
    <row r="53" spans="4:17" ht="17" x14ac:dyDescent="0.2">
      <c r="D53" s="1" t="s">
        <v>240</v>
      </c>
      <c r="E53" s="2" t="s">
        <v>241</v>
      </c>
      <c r="F53" t="s">
        <v>131</v>
      </c>
      <c r="G53" s="2" t="s">
        <v>116</v>
      </c>
      <c r="H53" s="2" t="s">
        <v>329</v>
      </c>
      <c r="I53" s="3">
        <f>ROUND(Tabla2[[#This Row],[COSTO]]/0.7,0)</f>
        <v>109714</v>
      </c>
      <c r="J53" s="3">
        <f>ROUND(Tabla2[[#This Row],[P GRAN MAYOR (30)]]/0.8,0)</f>
        <v>137143</v>
      </c>
      <c r="K53" s="8">
        <f>ROUND(Tabla2[[#This Row],[P POR MAYOR (20)]]/(1-0.375),0)</f>
        <v>219429</v>
      </c>
      <c r="Q53"/>
    </row>
    <row r="54" spans="4:17" ht="34" x14ac:dyDescent="0.2">
      <c r="D54" s="1" t="s">
        <v>242</v>
      </c>
      <c r="E54" s="2" t="s">
        <v>243</v>
      </c>
      <c r="F54" t="s">
        <v>131</v>
      </c>
      <c r="G54" s="2" t="s">
        <v>116</v>
      </c>
      <c r="H54" s="2" t="s">
        <v>348</v>
      </c>
      <c r="I54" s="3">
        <f>ROUND(Tabla2[[#This Row],[COSTO]]/0.7,0)</f>
        <v>28343</v>
      </c>
      <c r="J54" s="3">
        <f>ROUND(Tabla2[[#This Row],[P GRAN MAYOR (30)]]/0.8,0)</f>
        <v>35429</v>
      </c>
      <c r="K54" s="8">
        <f>ROUND(Tabla2[[#This Row],[P POR MAYOR (20)]]/(1-0.375),0)</f>
        <v>56686</v>
      </c>
      <c r="Q54"/>
    </row>
    <row r="55" spans="4:17" ht="34" x14ac:dyDescent="0.2">
      <c r="D55" s="1" t="s">
        <v>244</v>
      </c>
      <c r="E55" s="2" t="s">
        <v>245</v>
      </c>
      <c r="F55" t="s">
        <v>131</v>
      </c>
      <c r="G55" s="2" t="s">
        <v>116</v>
      </c>
      <c r="H55" s="2" t="s">
        <v>349</v>
      </c>
      <c r="I55" s="3">
        <f>ROUND(Tabla2[[#This Row],[COSTO]]/0.7,0)</f>
        <v>45714</v>
      </c>
      <c r="J55" s="3">
        <f>ROUND(Tabla2[[#This Row],[P GRAN MAYOR (30)]]/0.8,0)</f>
        <v>57143</v>
      </c>
      <c r="K55" s="8">
        <f>ROUND(Tabla2[[#This Row],[P POR MAYOR (20)]]/(1-0.375),0)</f>
        <v>91429</v>
      </c>
      <c r="Q55"/>
    </row>
    <row r="56" spans="4:17" ht="34" x14ac:dyDescent="0.2">
      <c r="D56" s="1" t="s">
        <v>246</v>
      </c>
      <c r="E56" s="2" t="s">
        <v>247</v>
      </c>
      <c r="F56" t="s">
        <v>131</v>
      </c>
      <c r="G56" s="2" t="s">
        <v>116</v>
      </c>
      <c r="H56" s="2" t="s">
        <v>350</v>
      </c>
      <c r="I56" s="3">
        <f>ROUND(Tabla2[[#This Row],[COSTO]]/0.7,0)</f>
        <v>50286</v>
      </c>
      <c r="J56" s="3">
        <f>ROUND(Tabla2[[#This Row],[P GRAN MAYOR (30)]]/0.8,0)</f>
        <v>62858</v>
      </c>
      <c r="K56" s="8">
        <f>ROUND(Tabla2[[#This Row],[P POR MAYOR (20)]]/(1-0.375),0)</f>
        <v>100573</v>
      </c>
      <c r="Q56"/>
    </row>
    <row r="57" spans="4:17" ht="17" x14ac:dyDescent="0.2">
      <c r="D57" s="1" t="s">
        <v>248</v>
      </c>
      <c r="E57" s="1" t="s">
        <v>249</v>
      </c>
      <c r="F57" t="s">
        <v>131</v>
      </c>
      <c r="G57" s="2" t="s">
        <v>116</v>
      </c>
      <c r="H57" s="2" t="s">
        <v>320</v>
      </c>
      <c r="I57" s="3">
        <f>ROUND(Tabla2[[#This Row],[COSTO]]/0.7,0)</f>
        <v>17371</v>
      </c>
      <c r="J57" s="3">
        <f>ROUND(Tabla2[[#This Row],[P GRAN MAYOR (30)]]/0.8,0)</f>
        <v>21714</v>
      </c>
      <c r="K57" s="8">
        <f>ROUND(Tabla2[[#This Row],[P POR MAYOR (20)]]/(1-0.375),0)</f>
        <v>34742</v>
      </c>
      <c r="Q57"/>
    </row>
    <row r="58" spans="4:17" ht="17" x14ac:dyDescent="0.2">
      <c r="D58" s="1" t="s">
        <v>250</v>
      </c>
      <c r="E58" s="1" t="s">
        <v>251</v>
      </c>
      <c r="F58" t="s">
        <v>131</v>
      </c>
      <c r="G58" s="2" t="s">
        <v>116</v>
      </c>
      <c r="H58" s="2"/>
      <c r="I58" s="3">
        <f>ROUND(Tabla2[[#This Row],[COSTO]]/0.7,0)</f>
        <v>0</v>
      </c>
      <c r="J58" s="3">
        <f>ROUND(Tabla2[[#This Row],[P GRAN MAYOR (30)]]/0.8,0)</f>
        <v>0</v>
      </c>
      <c r="K58" s="8">
        <f>ROUND(Tabla2[[#This Row],[P POR MAYOR (20)]]/(1-0.375),0)</f>
        <v>0</v>
      </c>
      <c r="Q58"/>
    </row>
    <row r="59" spans="4:17" ht="17" x14ac:dyDescent="0.2">
      <c r="D59" s="1" t="s">
        <v>252</v>
      </c>
      <c r="E59" s="1" t="s">
        <v>253</v>
      </c>
      <c r="F59" t="s">
        <v>131</v>
      </c>
      <c r="G59" s="2" t="s">
        <v>116</v>
      </c>
      <c r="H59" s="2" t="s">
        <v>330</v>
      </c>
      <c r="I59" s="3">
        <f>ROUND(Tabla2[[#This Row],[COSTO]]/0.7,0)</f>
        <v>32457</v>
      </c>
      <c r="J59" s="3">
        <f>ROUND(Tabla2[[#This Row],[P GRAN MAYOR (30)]]/0.8,0)</f>
        <v>40571</v>
      </c>
      <c r="K59" s="8">
        <f>ROUND(Tabla2[[#This Row],[P POR MAYOR (20)]]/(1-0.375),0)</f>
        <v>64914</v>
      </c>
      <c r="Q59"/>
    </row>
    <row r="60" spans="4:17" ht="17" x14ac:dyDescent="0.2">
      <c r="D60" s="1" t="s">
        <v>254</v>
      </c>
      <c r="E60" s="1" t="s">
        <v>255</v>
      </c>
      <c r="F60" t="s">
        <v>131</v>
      </c>
      <c r="G60" s="2" t="s">
        <v>116</v>
      </c>
      <c r="H60" s="2" t="s">
        <v>331</v>
      </c>
      <c r="I60" s="3">
        <f>ROUND(Tabla2[[#This Row],[COSTO]]/0.7,0)</f>
        <v>30171</v>
      </c>
      <c r="J60" s="3">
        <f>ROUND(Tabla2[[#This Row],[P GRAN MAYOR (30)]]/0.8,0)</f>
        <v>37714</v>
      </c>
      <c r="K60" s="8">
        <f>ROUND(Tabla2[[#This Row],[P POR MAYOR (20)]]/(1-0.375),0)</f>
        <v>60342</v>
      </c>
      <c r="Q60"/>
    </row>
    <row r="61" spans="4:17" ht="17" x14ac:dyDescent="0.2">
      <c r="D61" s="1" t="s">
        <v>256</v>
      </c>
      <c r="E61" s="2" t="s">
        <v>257</v>
      </c>
      <c r="F61" t="s">
        <v>131</v>
      </c>
      <c r="G61" s="2" t="s">
        <v>116</v>
      </c>
      <c r="H61" s="2" t="s">
        <v>332</v>
      </c>
      <c r="I61" s="3">
        <f>ROUND(Tabla2[[#This Row],[COSTO]]/0.7,0)</f>
        <v>24686</v>
      </c>
      <c r="J61" s="3">
        <f>ROUND(Tabla2[[#This Row],[P GRAN MAYOR (30)]]/0.8,0)</f>
        <v>30858</v>
      </c>
      <c r="K61" s="8">
        <f>ROUND(Tabla2[[#This Row],[P POR MAYOR (20)]]/(1-0.375),0)</f>
        <v>49373</v>
      </c>
      <c r="Q61"/>
    </row>
    <row r="62" spans="4:17" ht="17" x14ac:dyDescent="0.2">
      <c r="D62" s="1" t="s">
        <v>258</v>
      </c>
      <c r="E62" s="2" t="s">
        <v>259</v>
      </c>
      <c r="F62" t="s">
        <v>131</v>
      </c>
      <c r="G62" s="2" t="s">
        <v>116</v>
      </c>
      <c r="H62" s="2"/>
      <c r="I62" s="3">
        <f>ROUND(Tabla2[[#This Row],[COSTO]]/0.7,0)</f>
        <v>0</v>
      </c>
      <c r="J62" s="3">
        <f>ROUND(Tabla2[[#This Row],[P GRAN MAYOR (30)]]/0.8,0)</f>
        <v>0</v>
      </c>
      <c r="K62" s="8">
        <f>ROUND(Tabla2[[#This Row],[P POR MAYOR (20)]]/(1-0.375),0)</f>
        <v>0</v>
      </c>
      <c r="Q62"/>
    </row>
    <row r="63" spans="4:17" ht="17" x14ac:dyDescent="0.2">
      <c r="D63" s="1" t="s">
        <v>260</v>
      </c>
      <c r="E63" s="1" t="s">
        <v>261</v>
      </c>
      <c r="F63" t="s">
        <v>132</v>
      </c>
      <c r="G63" s="2" t="s">
        <v>116</v>
      </c>
      <c r="H63" s="2"/>
      <c r="I63" s="3">
        <f>ROUND(Tabla2[[#This Row],[COSTO]]/0.7,0)</f>
        <v>0</v>
      </c>
      <c r="J63" s="3">
        <f>ROUND(Tabla2[[#This Row],[P GRAN MAYOR (30)]]/0.8,0)</f>
        <v>0</v>
      </c>
      <c r="K63" s="8">
        <f>ROUND(Tabla2[[#This Row],[P POR MAYOR (20)]]/(1-0.375),0)</f>
        <v>0</v>
      </c>
      <c r="Q63"/>
    </row>
    <row r="64" spans="4:17" ht="17" x14ac:dyDescent="0.2">
      <c r="D64" s="1" t="s">
        <v>262</v>
      </c>
      <c r="E64" s="1" t="s">
        <v>263</v>
      </c>
      <c r="F64" t="s">
        <v>132</v>
      </c>
      <c r="G64" s="2" t="s">
        <v>116</v>
      </c>
      <c r="H64" s="2"/>
      <c r="I64" s="3">
        <f>ROUND(Tabla2[[#This Row],[COSTO]]/0.7,0)</f>
        <v>0</v>
      </c>
      <c r="J64" s="3">
        <f>ROUND(Tabla2[[#This Row],[P GRAN MAYOR (30)]]/0.8,0)</f>
        <v>0</v>
      </c>
      <c r="K64" s="8">
        <f>ROUND(Tabla2[[#This Row],[P POR MAYOR (20)]]/(1-0.375),0)</f>
        <v>0</v>
      </c>
      <c r="Q64"/>
    </row>
    <row r="65" spans="4:27" ht="17" x14ac:dyDescent="0.2">
      <c r="D65" s="1" t="s">
        <v>264</v>
      </c>
      <c r="E65" s="1" t="s">
        <v>265</v>
      </c>
      <c r="F65" t="s">
        <v>132</v>
      </c>
      <c r="G65" s="2" t="s">
        <v>314</v>
      </c>
      <c r="H65" s="2" t="s">
        <v>1291</v>
      </c>
      <c r="I65" s="3">
        <f>ROUND(Tabla2[[#This Row],[COSTO]]/0.7,0)</f>
        <v>55714</v>
      </c>
      <c r="J65" s="3">
        <f>ROUND(Tabla2[[#This Row],[P GRAN MAYOR (30)]]/0.8,0)</f>
        <v>69643</v>
      </c>
      <c r="K65" s="8">
        <f>ROUND(Tabla2[[#This Row],[P POR MAYOR (20)]]/(1-0.375),0)</f>
        <v>111429</v>
      </c>
      <c r="Q65"/>
    </row>
    <row r="66" spans="4:27" ht="17" x14ac:dyDescent="0.2">
      <c r="D66" s="1" t="s">
        <v>266</v>
      </c>
      <c r="E66" s="1" t="s">
        <v>267</v>
      </c>
      <c r="F66" t="s">
        <v>131</v>
      </c>
      <c r="H66" s="2" t="s">
        <v>343</v>
      </c>
      <c r="I66" s="3">
        <f>ROUND(Tabla2[[#This Row],[COSTO]]/0.7,0)</f>
        <v>12800</v>
      </c>
      <c r="J66" s="3">
        <f>ROUND(Tabla2[[#This Row],[P GRAN MAYOR (30)]]/0.8,0)</f>
        <v>16000</v>
      </c>
      <c r="K66" s="8">
        <f>ROUND(Tabla2[[#This Row],[P POR MAYOR (20)]]/(1-0.375),0)</f>
        <v>25600</v>
      </c>
      <c r="Q66"/>
    </row>
    <row r="67" spans="4:27" ht="17" x14ac:dyDescent="0.2">
      <c r="D67" s="1" t="s">
        <v>268</v>
      </c>
      <c r="E67" s="1" t="s">
        <v>269</v>
      </c>
      <c r="F67" t="s">
        <v>131</v>
      </c>
      <c r="H67" s="2" t="s">
        <v>320</v>
      </c>
      <c r="I67" s="3">
        <f>ROUND(Tabla2[[#This Row],[COSTO]]/0.7,0)</f>
        <v>17371</v>
      </c>
      <c r="J67" s="3">
        <f>ROUND(Tabla2[[#This Row],[P GRAN MAYOR (30)]]/0.8,0)</f>
        <v>21714</v>
      </c>
      <c r="K67" s="8">
        <f>ROUND(Tabla2[[#This Row],[P POR MAYOR (20)]]/(1-0.375),0)</f>
        <v>34742</v>
      </c>
      <c r="Q67"/>
    </row>
    <row r="68" spans="4:27" ht="17" x14ac:dyDescent="0.2">
      <c r="D68" s="1" t="s">
        <v>270</v>
      </c>
      <c r="E68" s="1" t="s">
        <v>271</v>
      </c>
      <c r="F68" t="s">
        <v>131</v>
      </c>
      <c r="H68" s="2" t="s">
        <v>321</v>
      </c>
      <c r="I68" s="3">
        <f>ROUND(Tabla2[[#This Row],[COSTO]]/0.7,0)</f>
        <v>9143</v>
      </c>
      <c r="J68" s="3">
        <f>ROUND(Tabla2[[#This Row],[P GRAN MAYOR (30)]]/0.8,0)</f>
        <v>11429</v>
      </c>
      <c r="K68" s="8">
        <f>ROUND(Tabla2[[#This Row],[P POR MAYOR (20)]]/(1-0.375),0)</f>
        <v>18286</v>
      </c>
      <c r="Q68"/>
    </row>
    <row r="69" spans="4:27" ht="17" x14ac:dyDescent="0.2">
      <c r="D69" s="1" t="s">
        <v>272</v>
      </c>
      <c r="E69" s="1" t="s">
        <v>273</v>
      </c>
      <c r="F69" t="s">
        <v>131</v>
      </c>
      <c r="H69" s="2" t="s">
        <v>321</v>
      </c>
      <c r="I69" s="3">
        <f>ROUND(Tabla2[[#This Row],[COSTO]]/0.7,0)</f>
        <v>9143</v>
      </c>
      <c r="J69" s="3">
        <f>ROUND(Tabla2[[#This Row],[P GRAN MAYOR (30)]]/0.8,0)</f>
        <v>11429</v>
      </c>
      <c r="K69" s="8">
        <f>ROUND(Tabla2[[#This Row],[P POR MAYOR (20)]]/(1-0.375),0)</f>
        <v>18286</v>
      </c>
      <c r="Q69"/>
    </row>
    <row r="70" spans="4:27" ht="30" x14ac:dyDescent="0.2">
      <c r="D70" s="1" t="s">
        <v>274</v>
      </c>
      <c r="E70" s="1" t="s">
        <v>275</v>
      </c>
      <c r="F70" t="s">
        <v>1662</v>
      </c>
      <c r="H70" s="2" t="s">
        <v>1674</v>
      </c>
      <c r="I70" s="3">
        <f>ROUND(Tabla2[[#This Row],[COSTO]]/0.7,0)</f>
        <v>38000</v>
      </c>
      <c r="J70" s="3">
        <f>ROUND(Tabla2[[#This Row],[P GRAN MAYOR (30)]]/0.8,0)</f>
        <v>47500</v>
      </c>
      <c r="K70" s="8">
        <f>ROUND(Tabla2[[#This Row],[P POR MAYOR (20)]]/(1-0.375),0)</f>
        <v>76000</v>
      </c>
      <c r="Q70"/>
    </row>
    <row r="71" spans="4:27" ht="17" x14ac:dyDescent="0.2">
      <c r="D71" s="1" t="s">
        <v>276</v>
      </c>
      <c r="E71" s="1" t="s">
        <v>277</v>
      </c>
      <c r="F71" t="s">
        <v>131</v>
      </c>
      <c r="H71" s="2" t="s">
        <v>333</v>
      </c>
      <c r="I71" s="3">
        <f>ROUND(Tabla2[[#This Row],[COSTO]]/0.7,0)</f>
        <v>13257</v>
      </c>
      <c r="J71" s="3">
        <f>ROUND(Tabla2[[#This Row],[P GRAN MAYOR (30)]]/0.8,0)</f>
        <v>16571</v>
      </c>
      <c r="K71" s="8">
        <f>ROUND(Tabla2[[#This Row],[P POR MAYOR (20)]]/(1-0.375),0)</f>
        <v>26514</v>
      </c>
      <c r="Q71"/>
    </row>
    <row r="72" spans="4:27" ht="17" x14ac:dyDescent="0.2">
      <c r="D72" s="1" t="s">
        <v>278</v>
      </c>
      <c r="E72" s="1" t="s">
        <v>279</v>
      </c>
      <c r="F72" t="s">
        <v>131</v>
      </c>
      <c r="H72" s="2" t="s">
        <v>334</v>
      </c>
      <c r="I72" s="3">
        <f>ROUND(Tabla2[[#This Row],[COSTO]]/0.7,0)</f>
        <v>14629</v>
      </c>
      <c r="J72" s="3">
        <f>ROUND(Tabla2[[#This Row],[P GRAN MAYOR (30)]]/0.8,0)</f>
        <v>18286</v>
      </c>
      <c r="K72" s="8">
        <f>ROUND(Tabla2[[#This Row],[P POR MAYOR (20)]]/(1-0.375),0)</f>
        <v>29258</v>
      </c>
      <c r="Q72"/>
    </row>
    <row r="73" spans="4:27" ht="17" x14ac:dyDescent="0.2">
      <c r="D73" s="1" t="s">
        <v>280</v>
      </c>
      <c r="E73" s="1" t="s">
        <v>281</v>
      </c>
      <c r="F73" t="s">
        <v>131</v>
      </c>
      <c r="H73" s="2" t="s">
        <v>320</v>
      </c>
      <c r="I73" s="3">
        <f>ROUND(Tabla2[[#This Row],[COSTO]]/0.7,0)</f>
        <v>17371</v>
      </c>
      <c r="J73" s="3">
        <f>ROUND(Tabla2[[#This Row],[P GRAN MAYOR (30)]]/0.8,0)</f>
        <v>21714</v>
      </c>
      <c r="K73" s="8">
        <f>ROUND(Tabla2[[#This Row],[P POR MAYOR (20)]]/(1-0.375),0)</f>
        <v>34742</v>
      </c>
      <c r="Q73"/>
    </row>
    <row r="74" spans="4:27" ht="17" x14ac:dyDescent="0.2">
      <c r="D74" s="1" t="s">
        <v>282</v>
      </c>
      <c r="E74" s="1" t="s">
        <v>283</v>
      </c>
      <c r="F74" t="s">
        <v>131</v>
      </c>
      <c r="H74" s="2" t="s">
        <v>335</v>
      </c>
      <c r="I74" s="3">
        <f>ROUND(Tabla2[[#This Row],[COSTO]]/0.7,0)</f>
        <v>21943</v>
      </c>
      <c r="J74" s="3">
        <f>ROUND(Tabla2[[#This Row],[P GRAN MAYOR (30)]]/0.8,0)</f>
        <v>27429</v>
      </c>
      <c r="K74" s="8">
        <f>ROUND(Tabla2[[#This Row],[P POR MAYOR (20)]]/(1-0.375),0)</f>
        <v>43886</v>
      </c>
      <c r="Q74"/>
    </row>
    <row r="75" spans="4:27" ht="17" x14ac:dyDescent="0.2">
      <c r="D75" s="1" t="s">
        <v>284</v>
      </c>
      <c r="E75" s="1" t="s">
        <v>285</v>
      </c>
      <c r="F75" t="s">
        <v>131</v>
      </c>
      <c r="H75" s="2" t="s">
        <v>336</v>
      </c>
      <c r="I75" s="3">
        <f>ROUND(Tabla2[[#This Row],[COSTO]]/0.7,0)</f>
        <v>32000</v>
      </c>
      <c r="J75" s="3">
        <f>ROUND(Tabla2[[#This Row],[P GRAN MAYOR (30)]]/0.8,0)</f>
        <v>40000</v>
      </c>
      <c r="K75" s="8">
        <f>ROUND(Tabla2[[#This Row],[P POR MAYOR (20)]]/(1-0.375),0)</f>
        <v>64000</v>
      </c>
      <c r="Q75"/>
    </row>
    <row r="76" spans="4:27" ht="17" x14ac:dyDescent="0.2">
      <c r="D76" s="1" t="s">
        <v>286</v>
      </c>
      <c r="E76" s="1" t="s">
        <v>287</v>
      </c>
      <c r="F76" t="s">
        <v>131</v>
      </c>
      <c r="H76" s="2" t="s">
        <v>337</v>
      </c>
      <c r="I76" s="3">
        <f>ROUND(Tabla2[[#This Row],[COSTO]]/0.7,0)</f>
        <v>18286</v>
      </c>
      <c r="J76" s="3">
        <f>ROUND(Tabla2[[#This Row],[P GRAN MAYOR (30)]]/0.8,0)</f>
        <v>22858</v>
      </c>
      <c r="K76" s="8">
        <f>ROUND(Tabla2[[#This Row],[P POR MAYOR (20)]]/(1-0.375),0)</f>
        <v>36573</v>
      </c>
      <c r="Q76"/>
      <c r="Z76" s="17"/>
      <c r="AA76" s="13"/>
    </row>
    <row r="77" spans="4:27" ht="17" x14ac:dyDescent="0.2">
      <c r="D77" s="1" t="s">
        <v>288</v>
      </c>
      <c r="E77" s="1" t="s">
        <v>289</v>
      </c>
      <c r="F77" t="s">
        <v>131</v>
      </c>
      <c r="H77" s="2" t="s">
        <v>116</v>
      </c>
      <c r="I77" s="3" t="e">
        <f>ROUND(Tabla2[[#This Row],[COSTO]]/0.7,0)</f>
        <v>#VALUE!</v>
      </c>
      <c r="J77" s="3" t="e">
        <f>ROUND(Tabla2[[#This Row],[P GRAN MAYOR (30)]]/0.8,0)</f>
        <v>#VALUE!</v>
      </c>
      <c r="K77" s="8" t="e">
        <f>ROUND(Tabla2[[#This Row],[P POR MAYOR (20)]]/(1-0.375),0)</f>
        <v>#VALUE!</v>
      </c>
      <c r="Q77"/>
    </row>
    <row r="78" spans="4:27" ht="17" x14ac:dyDescent="0.2">
      <c r="D78" s="1" t="s">
        <v>290</v>
      </c>
      <c r="E78" s="1" t="s">
        <v>291</v>
      </c>
      <c r="F78" t="s">
        <v>131</v>
      </c>
      <c r="H78" s="2" t="s">
        <v>116</v>
      </c>
      <c r="I78" s="3" t="e">
        <f>ROUND(Tabla2[[#This Row],[COSTO]]/0.7,0)</f>
        <v>#VALUE!</v>
      </c>
      <c r="J78" s="3" t="e">
        <f>ROUND(Tabla2[[#This Row],[P GRAN MAYOR (30)]]/0.8,0)</f>
        <v>#VALUE!</v>
      </c>
      <c r="K78" s="8" t="e">
        <f>ROUND(Tabla2[[#This Row],[P POR MAYOR (20)]]/(1-0.375),0)</f>
        <v>#VALUE!</v>
      </c>
      <c r="Q78"/>
    </row>
    <row r="79" spans="4:27" ht="17" x14ac:dyDescent="0.2">
      <c r="D79" s="1" t="s">
        <v>292</v>
      </c>
      <c r="E79" s="1" t="s">
        <v>293</v>
      </c>
      <c r="F79" t="s">
        <v>131</v>
      </c>
      <c r="H79" s="2" t="s">
        <v>333</v>
      </c>
      <c r="I79" s="3">
        <f>ROUND(Tabla2[[#This Row],[COSTO]]/0.7,0)</f>
        <v>13257</v>
      </c>
      <c r="J79" s="3">
        <f>ROUND(Tabla2[[#This Row],[P GRAN MAYOR (30)]]/0.8,0)</f>
        <v>16571</v>
      </c>
      <c r="K79" s="8">
        <f>ROUND(Tabla2[[#This Row],[P POR MAYOR (20)]]/(1-0.375),0)</f>
        <v>26514</v>
      </c>
      <c r="Q79"/>
    </row>
    <row r="80" spans="4:27" x14ac:dyDescent="0.2">
      <c r="D80" s="1" t="s">
        <v>294</v>
      </c>
      <c r="E80" s="1" t="s">
        <v>295</v>
      </c>
      <c r="F80" t="s">
        <v>131</v>
      </c>
      <c r="H80">
        <v>23360</v>
      </c>
      <c r="I80" s="3">
        <f>ROUND(Tabla2[[#This Row],[COSTO]]/0.7,0)</f>
        <v>33371</v>
      </c>
      <c r="J80" s="3">
        <f>ROUND(Tabla2[[#This Row],[P GRAN MAYOR (30)]]/0.8,0)</f>
        <v>41714</v>
      </c>
      <c r="K80" s="8">
        <f>ROUND(Tabla2[[#This Row],[P POR MAYOR (20)]]/(1-0.375),0)</f>
        <v>66742</v>
      </c>
      <c r="Q80"/>
    </row>
    <row r="81" spans="4:17" x14ac:dyDescent="0.2">
      <c r="D81" s="1" t="s">
        <v>296</v>
      </c>
      <c r="E81" s="1" t="s">
        <v>297</v>
      </c>
      <c r="F81" t="s">
        <v>131</v>
      </c>
      <c r="H81">
        <v>15360</v>
      </c>
      <c r="I81" s="3">
        <f>ROUND(Tabla2[[#This Row],[COSTO]]/0.7,0)</f>
        <v>21943</v>
      </c>
      <c r="J81" s="3">
        <f>ROUND(Tabla2[[#This Row],[P GRAN MAYOR (30)]]/0.8,0)</f>
        <v>27429</v>
      </c>
      <c r="K81" s="8">
        <f>ROUND(Tabla2[[#This Row],[P POR MAYOR (20)]]/(1-0.375),0)</f>
        <v>43886</v>
      </c>
      <c r="Q81"/>
    </row>
    <row r="82" spans="4:17" x14ac:dyDescent="0.2">
      <c r="D82" s="1" t="s">
        <v>298</v>
      </c>
      <c r="E82" s="1" t="s">
        <v>299</v>
      </c>
      <c r="F82" t="s">
        <v>131</v>
      </c>
      <c r="H82">
        <v>7360</v>
      </c>
      <c r="I82" s="3">
        <f>ROUND(Tabla2[[#This Row],[COSTO]]/0.7,0)</f>
        <v>10514</v>
      </c>
      <c r="J82" s="3">
        <f>ROUND(Tabla2[[#This Row],[P GRAN MAYOR (30)]]/0.8,0)</f>
        <v>13143</v>
      </c>
      <c r="K82" s="8">
        <f>ROUND(Tabla2[[#This Row],[P POR MAYOR (20)]]/(1-0.375),0)</f>
        <v>21029</v>
      </c>
      <c r="Q82"/>
    </row>
    <row r="83" spans="4:17" x14ac:dyDescent="0.2">
      <c r="D83" s="1" t="s">
        <v>300</v>
      </c>
      <c r="E83" s="1" t="s">
        <v>301</v>
      </c>
      <c r="F83" t="s">
        <v>131</v>
      </c>
      <c r="H83">
        <v>34880</v>
      </c>
      <c r="I83" s="3">
        <f>ROUND(Tabla2[[#This Row],[COSTO]]/0.7,0)</f>
        <v>49829</v>
      </c>
      <c r="J83" s="3">
        <f>ROUND(Tabla2[[#This Row],[P GRAN MAYOR (30)]]/0.8,0)</f>
        <v>62286</v>
      </c>
      <c r="K83" s="8">
        <f>ROUND(Tabla2[[#This Row],[P POR MAYOR (20)]]/(1-0.375),0)</f>
        <v>99658</v>
      </c>
      <c r="Q83"/>
    </row>
    <row r="84" spans="4:17" x14ac:dyDescent="0.2">
      <c r="D84" s="1" t="s">
        <v>302</v>
      </c>
      <c r="E84" s="1" t="s">
        <v>303</v>
      </c>
      <c r="F84" t="s">
        <v>131</v>
      </c>
      <c r="H84">
        <v>5760</v>
      </c>
      <c r="I84" s="3">
        <f>ROUND(Tabla2[[#This Row],[COSTO]]/0.7,0)</f>
        <v>8229</v>
      </c>
      <c r="J84" s="3">
        <f>ROUND(Tabla2[[#This Row],[P GRAN MAYOR (30)]]/0.8,0)</f>
        <v>10286</v>
      </c>
      <c r="K84" s="8">
        <f>ROUND(Tabla2[[#This Row],[P POR MAYOR (20)]]/(1-0.375),0)</f>
        <v>16458</v>
      </c>
      <c r="Q84"/>
    </row>
    <row r="85" spans="4:17" x14ac:dyDescent="0.2">
      <c r="D85" s="1" t="s">
        <v>304</v>
      </c>
      <c r="E85" s="1" t="s">
        <v>305</v>
      </c>
      <c r="F85" t="s">
        <v>131</v>
      </c>
      <c r="H85">
        <v>10880</v>
      </c>
      <c r="I85" s="3">
        <f>ROUND(Tabla2[[#This Row],[COSTO]]/0.7,0)</f>
        <v>15543</v>
      </c>
      <c r="J85" s="3">
        <f>ROUND(Tabla2[[#This Row],[P GRAN MAYOR (30)]]/0.8,0)</f>
        <v>19429</v>
      </c>
      <c r="K85" s="8">
        <f>ROUND(Tabla2[[#This Row],[P POR MAYOR (20)]]/(1-0.375),0)</f>
        <v>31086</v>
      </c>
      <c r="Q85"/>
    </row>
    <row r="86" spans="4:17" x14ac:dyDescent="0.2">
      <c r="D86" s="1" t="s">
        <v>1178</v>
      </c>
      <c r="E86" s="1" t="s">
        <v>1179</v>
      </c>
      <c r="F86" t="s">
        <v>131</v>
      </c>
      <c r="H86">
        <v>6480</v>
      </c>
      <c r="I86" s="3">
        <f>ROUND(Tabla2[[#This Row],[COSTO]]/0.7,0)</f>
        <v>9257</v>
      </c>
      <c r="J86" s="3">
        <f>ROUND(Tabla2[[#This Row],[P GRAN MAYOR (30)]]/0.8,0)</f>
        <v>11571</v>
      </c>
      <c r="K86" s="8">
        <f>ROUND(Tabla2[[#This Row],[P POR MAYOR (20)]]/(1-0.375),0)</f>
        <v>18514</v>
      </c>
      <c r="Q86"/>
    </row>
    <row r="87" spans="4:17" x14ac:dyDescent="0.2">
      <c r="D87" s="1" t="s">
        <v>1180</v>
      </c>
      <c r="E87" s="1" t="s">
        <v>1181</v>
      </c>
      <c r="F87" t="s">
        <v>131</v>
      </c>
      <c r="H87">
        <v>12270</v>
      </c>
      <c r="I87" s="3">
        <f>ROUND(Tabla2[[#This Row],[COSTO]]/0.7,0)</f>
        <v>17529</v>
      </c>
      <c r="J87" s="3">
        <f>ROUND(Tabla2[[#This Row],[P GRAN MAYOR (30)]]/0.8,0)</f>
        <v>21911</v>
      </c>
      <c r="K87" s="8">
        <f>ROUND(Tabla2[[#This Row],[P POR MAYOR (20)]]/(1-0.375),0)</f>
        <v>35058</v>
      </c>
      <c r="Q87"/>
    </row>
    <row r="88" spans="4:17" x14ac:dyDescent="0.2">
      <c r="D88" s="1" t="s">
        <v>1182</v>
      </c>
      <c r="E88" s="1" t="s">
        <v>1183</v>
      </c>
      <c r="F88" t="s">
        <v>131</v>
      </c>
      <c r="H88">
        <v>12160</v>
      </c>
      <c r="I88" s="3">
        <f>ROUND(Tabla2[[#This Row],[COSTO]]/0.7,0)</f>
        <v>17371</v>
      </c>
      <c r="J88" s="3">
        <f>ROUND(Tabla2[[#This Row],[P GRAN MAYOR (30)]]/0.8,0)</f>
        <v>21714</v>
      </c>
      <c r="K88" s="8">
        <f>ROUND(Tabla2[[#This Row],[P POR MAYOR (20)]]/(1-0.375),0)</f>
        <v>34742</v>
      </c>
      <c r="Q88"/>
    </row>
    <row r="89" spans="4:17" x14ac:dyDescent="0.2">
      <c r="D89" s="1" t="s">
        <v>1184</v>
      </c>
      <c r="E89" s="1" t="s">
        <v>1185</v>
      </c>
      <c r="F89" t="s">
        <v>131</v>
      </c>
      <c r="H89">
        <v>8720</v>
      </c>
      <c r="I89" s="3">
        <f>ROUND(Tabla2[[#This Row],[COSTO]]/0.7,0)</f>
        <v>12457</v>
      </c>
      <c r="J89" s="3">
        <f>ROUND(Tabla2[[#This Row],[P GRAN MAYOR (30)]]/0.8,0)</f>
        <v>15571</v>
      </c>
      <c r="K89" s="8">
        <f>ROUND(Tabla2[[#This Row],[P POR MAYOR (20)]]/(1-0.375),0)</f>
        <v>24914</v>
      </c>
      <c r="Q89"/>
    </row>
    <row r="90" spans="4:17" x14ac:dyDescent="0.2">
      <c r="D90" s="1" t="s">
        <v>1186</v>
      </c>
      <c r="E90" s="1" t="s">
        <v>1187</v>
      </c>
      <c r="F90" t="s">
        <v>131</v>
      </c>
      <c r="H90">
        <v>8000</v>
      </c>
      <c r="I90" s="3">
        <f>ROUND(Tabla2[[#This Row],[COSTO]]/0.7,0)</f>
        <v>11429</v>
      </c>
      <c r="J90" s="3">
        <f>ROUND(Tabla2[[#This Row],[P GRAN MAYOR (30)]]/0.8,0)</f>
        <v>14286</v>
      </c>
      <c r="K90" s="8">
        <f>ROUND(Tabla2[[#This Row],[P POR MAYOR (20)]]/(1-0.375),0)</f>
        <v>22858</v>
      </c>
      <c r="Q90"/>
    </row>
    <row r="91" spans="4:17" x14ac:dyDescent="0.2">
      <c r="D91" s="1" t="s">
        <v>1188</v>
      </c>
      <c r="E91" s="1" t="s">
        <v>1189</v>
      </c>
      <c r="F91" t="s">
        <v>131</v>
      </c>
      <c r="H91">
        <v>8480</v>
      </c>
      <c r="I91" s="3">
        <f>ROUND(Tabla2[[#This Row],[COSTO]]/0.7,0)</f>
        <v>12114</v>
      </c>
      <c r="J91" s="3">
        <f>ROUND(Tabla2[[#This Row],[P GRAN MAYOR (30)]]/0.8,0)</f>
        <v>15143</v>
      </c>
      <c r="K91" s="8">
        <f>ROUND(Tabla2[[#This Row],[P POR MAYOR (20)]]/(1-0.375),0)</f>
        <v>24229</v>
      </c>
      <c r="Q91"/>
    </row>
    <row r="92" spans="4:17" x14ac:dyDescent="0.2">
      <c r="D92" s="1" t="s">
        <v>1287</v>
      </c>
      <c r="E92" s="1" t="s">
        <v>1281</v>
      </c>
      <c r="F92" t="s">
        <v>131</v>
      </c>
      <c r="H92">
        <v>20500</v>
      </c>
      <c r="I92" s="3">
        <f>ROUND(Tabla2[[#This Row],[COSTO]]/0.7,0)</f>
        <v>29286</v>
      </c>
      <c r="J92" s="3">
        <f>ROUND(Tabla2[[#This Row],[P GRAN MAYOR (30)]]/0.8,0)</f>
        <v>36608</v>
      </c>
      <c r="K92" s="8">
        <f>ROUND(Tabla2[[#This Row],[P POR MAYOR (20)]]/(1-0.375),0)</f>
        <v>58573</v>
      </c>
      <c r="Q92"/>
    </row>
    <row r="93" spans="4:17" x14ac:dyDescent="0.2">
      <c r="D93" s="1" t="s">
        <v>1283</v>
      </c>
      <c r="E93" s="1" t="s">
        <v>1284</v>
      </c>
      <c r="F93" t="s">
        <v>131</v>
      </c>
      <c r="H93">
        <v>18100</v>
      </c>
      <c r="I93" s="3">
        <f>ROUND(Tabla2[[#This Row],[COSTO]]/0.7,0)</f>
        <v>25857</v>
      </c>
      <c r="J93" s="3">
        <f>ROUND(Tabla2[[#This Row],[P GRAN MAYOR (30)]]/0.8,0)</f>
        <v>32321</v>
      </c>
      <c r="K93" s="8">
        <f>ROUND(Tabla2[[#This Row],[P POR MAYOR (20)]]/(1-0.375),0)</f>
        <v>51714</v>
      </c>
      <c r="Q93"/>
    </row>
    <row r="94" spans="4:17" x14ac:dyDescent="0.2">
      <c r="D94" s="1" t="s">
        <v>1285</v>
      </c>
      <c r="E94" s="1" t="s">
        <v>1286</v>
      </c>
      <c r="F94" t="s">
        <v>131</v>
      </c>
      <c r="H94">
        <v>8500</v>
      </c>
      <c r="I94" s="3">
        <f>ROUND(Tabla2[[#This Row],[COSTO]]/0.7,0)</f>
        <v>12143</v>
      </c>
      <c r="J94" s="3">
        <f>ROUND(Tabla2[[#This Row],[P GRAN MAYOR (30)]]/0.8,0)</f>
        <v>15179</v>
      </c>
      <c r="K94" s="8">
        <f>ROUND(Tabla2[[#This Row],[P POR MAYOR (20)]]/(1-0.375),0)</f>
        <v>24286</v>
      </c>
      <c r="Q94"/>
    </row>
    <row r="95" spans="4:17" x14ac:dyDescent="0.2">
      <c r="D95" s="1" t="s">
        <v>1282</v>
      </c>
      <c r="E95" s="1" t="s">
        <v>1288</v>
      </c>
      <c r="F95" t="s">
        <v>131</v>
      </c>
      <c r="I95" s="3">
        <f>ROUND(Tabla2[[#This Row],[COSTO]]/0.7,0)</f>
        <v>0</v>
      </c>
      <c r="J95" s="3">
        <f>ROUND(Tabla2[[#This Row],[P GRAN MAYOR (30)]]/0.8,0)</f>
        <v>0</v>
      </c>
      <c r="K95" s="8">
        <f>ROUND(Tabla2[[#This Row],[P POR MAYOR (20)]]/(1-0.375),0)</f>
        <v>0</v>
      </c>
      <c r="Q95"/>
    </row>
    <row r="96" spans="4:17" x14ac:dyDescent="0.2">
      <c r="D96" s="1" t="s">
        <v>1289</v>
      </c>
      <c r="E96" s="1" t="s">
        <v>1290</v>
      </c>
      <c r="F96" t="s">
        <v>131</v>
      </c>
      <c r="H96">
        <f>0.38*32000</f>
        <v>12160</v>
      </c>
      <c r="I96" s="3">
        <f>ROUND(Tabla2[[#This Row],[COSTO]]/0.7,0)</f>
        <v>17371</v>
      </c>
      <c r="J96" s="3">
        <f>ROUND(Tabla2[[#This Row],[P GRAN MAYOR (30)]]/0.8,0)</f>
        <v>21714</v>
      </c>
      <c r="K96" s="8">
        <f>ROUND(Tabla2[[#This Row],[P POR MAYOR (20)]]/(1-0.375),0)</f>
        <v>34742</v>
      </c>
      <c r="Q96"/>
    </row>
    <row r="97" spans="4:17" ht="17" x14ac:dyDescent="0.2">
      <c r="D97" s="1" t="s">
        <v>1293</v>
      </c>
      <c r="E97" s="1" t="s">
        <v>1292</v>
      </c>
      <c r="F97" t="s">
        <v>132</v>
      </c>
      <c r="G97" s="2" t="s">
        <v>1294</v>
      </c>
      <c r="H97" s="2" t="s">
        <v>1291</v>
      </c>
      <c r="I97" s="3">
        <f>ROUND(Tabla2[[#This Row],[COSTO]]/0.7,0)</f>
        <v>55714</v>
      </c>
      <c r="J97" s="3">
        <f>ROUND(Tabla2[[#This Row],[P GRAN MAYOR (30)]]/0.8,0)</f>
        <v>69643</v>
      </c>
      <c r="K97" s="8">
        <f>ROUND(Tabla2[[#This Row],[P POR MAYOR (20)]]/(1-0.375),0)</f>
        <v>111429</v>
      </c>
      <c r="Q97"/>
    </row>
    <row r="98" spans="4:17" x14ac:dyDescent="0.2">
      <c r="D98" s="1" t="s">
        <v>1296</v>
      </c>
      <c r="E98" s="1" t="s">
        <v>1297</v>
      </c>
      <c r="F98" t="s">
        <v>132</v>
      </c>
      <c r="G98" s="9" t="s">
        <v>1295</v>
      </c>
      <c r="H98">
        <v>24000</v>
      </c>
      <c r="I98" s="3">
        <f>ROUND(Tabla2[[#This Row],[COSTO]]/0.7,0)</f>
        <v>34286</v>
      </c>
      <c r="J98" s="3">
        <f>ROUND(Tabla2[[#This Row],[P GRAN MAYOR (30)]]/0.8,0)</f>
        <v>42858</v>
      </c>
      <c r="K98" s="8">
        <f>ROUND(Tabla2[[#This Row],[P POR MAYOR (20)]]/(1-0.375),0)</f>
        <v>68573</v>
      </c>
      <c r="Q98"/>
    </row>
    <row r="99" spans="4:17" x14ac:dyDescent="0.2">
      <c r="D99" s="1" t="s">
        <v>1401</v>
      </c>
      <c r="E99" s="1" t="s">
        <v>1402</v>
      </c>
      <c r="F99" t="s">
        <v>1403</v>
      </c>
      <c r="G99">
        <v>20360</v>
      </c>
      <c r="H99">
        <v>17000</v>
      </c>
      <c r="I99" s="3">
        <f>ROUND(Tabla2[[#This Row],[COSTO]]/0.7,0)</f>
        <v>24286</v>
      </c>
      <c r="J99" s="3">
        <f>ROUND(Tabla2[[#This Row],[P GRAN MAYOR (30)]]/0.8,0)</f>
        <v>30358</v>
      </c>
      <c r="K99" s="8">
        <f>ROUND(Tabla2[[#This Row],[P POR MAYOR (20)]]/(1-0.375),0)</f>
        <v>48573</v>
      </c>
      <c r="Q99"/>
    </row>
    <row r="100" spans="4:17" x14ac:dyDescent="0.2">
      <c r="D100" s="1" t="s">
        <v>1585</v>
      </c>
      <c r="E100" s="1" t="s">
        <v>1586</v>
      </c>
      <c r="F100" t="s">
        <v>132</v>
      </c>
      <c r="G100" t="s">
        <v>1587</v>
      </c>
      <c r="H100">
        <v>18000</v>
      </c>
      <c r="I100" s="3">
        <f>ROUND(Tabla2[[#This Row],[COSTO]]/0.7,0)</f>
        <v>25714</v>
      </c>
      <c r="J100" s="3">
        <f>ROUND(Tabla2[[#This Row],[P GRAN MAYOR (30)]]/0.8,0)</f>
        <v>32143</v>
      </c>
      <c r="K100" s="8">
        <f>ROUND(Tabla2[[#This Row],[P POR MAYOR (20)]]/(1-0.375),0)</f>
        <v>51429</v>
      </c>
      <c r="Q100"/>
    </row>
    <row r="101" spans="4:17" x14ac:dyDescent="0.2">
      <c r="D101" s="1" t="s">
        <v>1589</v>
      </c>
      <c r="E101" s="1" t="s">
        <v>1588</v>
      </c>
      <c r="F101" t="s">
        <v>131</v>
      </c>
      <c r="H101">
        <f>0.54*42000</f>
        <v>22680</v>
      </c>
      <c r="I101" s="3">
        <f>ROUND(Tabla2[[#This Row],[COSTO]]/0.7,0)</f>
        <v>32400</v>
      </c>
      <c r="J101" s="3">
        <f>ROUND(Tabla2[[#This Row],[P GRAN MAYOR (30)]]/0.8,0)</f>
        <v>40500</v>
      </c>
      <c r="K101" s="8">
        <f>ROUND(Tabla2[[#This Row],[P POR MAYOR (20)]]/(1-0.375),0)</f>
        <v>64800</v>
      </c>
      <c r="Q101"/>
    </row>
    <row r="102" spans="4:17" x14ac:dyDescent="0.2">
      <c r="D102" s="1" t="s">
        <v>1591</v>
      </c>
      <c r="E102" s="1" t="s">
        <v>1590</v>
      </c>
      <c r="F102" t="s">
        <v>131</v>
      </c>
      <c r="H102">
        <f>0.68*42000</f>
        <v>28560.000000000004</v>
      </c>
      <c r="I102" s="3">
        <f>ROUND(Tabla2[[#This Row],[COSTO]]/0.7,0)</f>
        <v>40800</v>
      </c>
      <c r="J102" s="3">
        <f>ROUND(Tabla2[[#This Row],[P GRAN MAYOR (30)]]/0.8,0)</f>
        <v>51000</v>
      </c>
      <c r="K102" s="8">
        <f>ROUND(Tabla2[[#This Row],[P POR MAYOR (20)]]/(1-0.375),0)</f>
        <v>81600</v>
      </c>
      <c r="Q102"/>
    </row>
    <row r="103" spans="4:17" x14ac:dyDescent="0.2">
      <c r="D103" s="1" t="s">
        <v>1593</v>
      </c>
      <c r="E103" s="1" t="s">
        <v>1592</v>
      </c>
      <c r="F103" t="s">
        <v>131</v>
      </c>
      <c r="H103">
        <v>12180</v>
      </c>
      <c r="I103" s="3">
        <f>ROUND(Tabla2[[#This Row],[COSTO]]/0.7,0)</f>
        <v>17400</v>
      </c>
      <c r="J103" s="3">
        <f>ROUND(Tabla2[[#This Row],[P GRAN MAYOR (30)]]/0.8,0)</f>
        <v>21750</v>
      </c>
      <c r="K103" s="8">
        <f>ROUND(Tabla2[[#This Row],[P POR MAYOR (20)]]/(1-0.375),0)</f>
        <v>34800</v>
      </c>
      <c r="Q103"/>
    </row>
    <row r="104" spans="4:17" x14ac:dyDescent="0.2">
      <c r="D104" s="1" t="s">
        <v>1622</v>
      </c>
      <c r="E104" s="1" t="s">
        <v>1623</v>
      </c>
      <c r="H104">
        <v>20000</v>
      </c>
      <c r="I104" s="3">
        <f>ROUND(Tabla2[[#This Row],[COSTO]]/0.7,0)</f>
        <v>28571</v>
      </c>
      <c r="J104" s="3">
        <f>ROUND(Tabla2[[#This Row],[P GRAN MAYOR (30)]]/0.8,0)</f>
        <v>35714</v>
      </c>
      <c r="K104" s="8">
        <f>ROUND(Tabla2[[#This Row],[P POR MAYOR (20)]]/(1-0.375),0)</f>
        <v>57142</v>
      </c>
    </row>
    <row r="105" spans="4:17" x14ac:dyDescent="0.2">
      <c r="D105" s="1" t="s">
        <v>1645</v>
      </c>
      <c r="E105" s="1" t="s">
        <v>1646</v>
      </c>
      <c r="F105" t="s">
        <v>1403</v>
      </c>
      <c r="G105" t="s">
        <v>1647</v>
      </c>
      <c r="H105">
        <v>30000</v>
      </c>
      <c r="I105" s="3">
        <f>ROUND(Tabla2[[#This Row],[COSTO]]/0.7,0)</f>
        <v>42857</v>
      </c>
      <c r="J105" s="3">
        <f>ROUND(Tabla2[[#This Row],[P GRAN MAYOR (30)]]/0.8,0)</f>
        <v>53571</v>
      </c>
      <c r="K105" s="8">
        <f>ROUND(Tabla2[[#This Row],[P POR MAYOR (20)]]/(1-0.375),0)</f>
        <v>85714</v>
      </c>
    </row>
    <row r="106" spans="4:17" x14ac:dyDescent="0.2">
      <c r="D106" s="1" t="s">
        <v>1648</v>
      </c>
      <c r="E106" s="1" t="s">
        <v>1649</v>
      </c>
      <c r="F106" t="s">
        <v>1403</v>
      </c>
      <c r="G106" t="s">
        <v>1650</v>
      </c>
      <c r="H106">
        <v>30000</v>
      </c>
      <c r="I106" s="3">
        <f>ROUND(Tabla2[[#This Row],[COSTO]]/0.7,0)</f>
        <v>42857</v>
      </c>
      <c r="J106" s="3">
        <f>ROUND(Tabla2[[#This Row],[P GRAN MAYOR (30)]]/0.8,0)</f>
        <v>53571</v>
      </c>
      <c r="K106" s="8">
        <f>ROUND(Tabla2[[#This Row],[P POR MAYOR (20)]]/(1-0.375),0)</f>
        <v>85714</v>
      </c>
    </row>
    <row r="107" spans="4:17" x14ac:dyDescent="0.2">
      <c r="D107" s="1" t="s">
        <v>1651</v>
      </c>
      <c r="E107" s="1" t="s">
        <v>1652</v>
      </c>
      <c r="F107" t="s">
        <v>1403</v>
      </c>
      <c r="G107" t="s">
        <v>1653</v>
      </c>
      <c r="H107">
        <v>30000</v>
      </c>
      <c r="I107" s="3">
        <f>ROUND(Tabla2[[#This Row],[COSTO]]/0.7,0)</f>
        <v>42857</v>
      </c>
      <c r="J107" s="3">
        <f>ROUND(Tabla2[[#This Row],[P GRAN MAYOR (30)]]/0.8,0)</f>
        <v>53571</v>
      </c>
      <c r="K107" s="8">
        <f>ROUND(Tabla2[[#This Row],[P POR MAYOR (20)]]/(1-0.375),0)</f>
        <v>85714</v>
      </c>
    </row>
    <row r="108" spans="4:17" x14ac:dyDescent="0.2">
      <c r="D108" s="1" t="s">
        <v>1654</v>
      </c>
      <c r="E108" s="1" t="s">
        <v>1655</v>
      </c>
      <c r="F108" t="s">
        <v>1403</v>
      </c>
      <c r="G108">
        <v>20051</v>
      </c>
      <c r="H108">
        <v>30000</v>
      </c>
      <c r="I108" s="3">
        <f>ROUND(Tabla2[[#This Row],[COSTO]]/0.7,0)</f>
        <v>42857</v>
      </c>
      <c r="J108" s="3">
        <f>ROUND(Tabla2[[#This Row],[P GRAN MAYOR (30)]]/0.8,0)</f>
        <v>53571</v>
      </c>
      <c r="K108" s="8">
        <f>ROUND(Tabla2[[#This Row],[P POR MAYOR (20)]]/(1-0.375),0)</f>
        <v>85714</v>
      </c>
    </row>
    <row r="109" spans="4:17" x14ac:dyDescent="0.2">
      <c r="D109" s="1" t="s">
        <v>1656</v>
      </c>
      <c r="E109" s="1" t="s">
        <v>1657</v>
      </c>
      <c r="F109" t="s">
        <v>1403</v>
      </c>
      <c r="G109">
        <v>20041</v>
      </c>
      <c r="H109">
        <v>3000</v>
      </c>
      <c r="I109" s="3">
        <f>ROUND(Tabla2[[#This Row],[COSTO]]/0.7,0)</f>
        <v>4286</v>
      </c>
      <c r="J109" s="3">
        <f>ROUND(Tabla2[[#This Row],[P GRAN MAYOR (30)]]/0.8,0)</f>
        <v>5358</v>
      </c>
      <c r="K109" s="8">
        <f>ROUND(Tabla2[[#This Row],[P POR MAYOR (20)]]/(1-0.375),0)</f>
        <v>8573</v>
      </c>
    </row>
    <row r="110" spans="4:17" x14ac:dyDescent="0.2">
      <c r="D110" s="1" t="s">
        <v>1660</v>
      </c>
      <c r="E110" s="1" t="s">
        <v>1661</v>
      </c>
      <c r="F110" t="s">
        <v>1662</v>
      </c>
      <c r="H110">
        <v>11400</v>
      </c>
      <c r="I110" s="3">
        <f>ROUND(Tabla2[[#This Row],[COSTO]]/0.7,0)</f>
        <v>16286</v>
      </c>
      <c r="J110" s="3">
        <f>ROUND(Tabla2[[#This Row],[P GRAN MAYOR (30)]]/0.8,0)</f>
        <v>20358</v>
      </c>
      <c r="K110" s="8">
        <f>ROUND(Tabla2[[#This Row],[P POR MAYOR (20)]]/(1-0.375),0)</f>
        <v>32573</v>
      </c>
    </row>
    <row r="111" spans="4:17" x14ac:dyDescent="0.2">
      <c r="D111" s="1" t="s">
        <v>1698</v>
      </c>
      <c r="E111" s="1" t="s">
        <v>1697</v>
      </c>
      <c r="F111" t="s">
        <v>134</v>
      </c>
      <c r="G111">
        <v>9140202</v>
      </c>
      <c r="H111">
        <f>85000*0.9</f>
        <v>76500</v>
      </c>
      <c r="I111" s="3">
        <f>ROUND(Tabla2[[#This Row],[COSTO]]/0.7,0)</f>
        <v>109286</v>
      </c>
      <c r="J111" s="3">
        <f>ROUND(Tabla2[[#This Row],[P GRAN MAYOR (30)]]/0.8,0)</f>
        <v>136608</v>
      </c>
      <c r="K111" s="8">
        <f>ROUND(Tabla2[[#This Row],[P POR MAYOR (20)]]/(1-0.375),0)</f>
        <v>218573</v>
      </c>
    </row>
    <row r="112" spans="4:17" ht="30" x14ac:dyDescent="0.2">
      <c r="D112" s="1" t="s">
        <v>1700</v>
      </c>
      <c r="E112" s="1" t="s">
        <v>1699</v>
      </c>
      <c r="F112" t="s">
        <v>134</v>
      </c>
      <c r="G112">
        <v>9140201</v>
      </c>
      <c r="H112">
        <f>63000*0.9</f>
        <v>56700</v>
      </c>
      <c r="I112" s="3">
        <f>ROUND(Tabla2[[#This Row],[COSTO]]/0.7,0)</f>
        <v>81000</v>
      </c>
      <c r="J112" s="3">
        <f>ROUND(Tabla2[[#This Row],[P GRAN MAYOR (30)]]/0.8,0)</f>
        <v>101250</v>
      </c>
      <c r="K112" s="8">
        <f>ROUND(Tabla2[[#This Row],[P POR MAYOR (20)]]/(1-0.375),0)</f>
        <v>162000</v>
      </c>
    </row>
    <row r="113" spans="4:11" ht="30" x14ac:dyDescent="0.2">
      <c r="D113" s="1" t="s">
        <v>1713</v>
      </c>
      <c r="E113" s="1" t="s">
        <v>1712</v>
      </c>
      <c r="F113" t="s">
        <v>732</v>
      </c>
      <c r="G113" t="s">
        <v>1716</v>
      </c>
      <c r="H113">
        <f>128000*0.5</f>
        <v>64000</v>
      </c>
      <c r="I113" s="3">
        <f>ROUND(Tabla2[[#This Row],[COSTO]]/0.7,0)</f>
        <v>91429</v>
      </c>
      <c r="J113" s="3">
        <f>ROUND(Tabla2[[#This Row],[P GRAN MAYOR (30)]]/0.8,0)</f>
        <v>114286</v>
      </c>
      <c r="K113" s="8">
        <f>ROUND(Tabla2[[#This Row],[P POR MAYOR (20)]]/(1-0.375),0)</f>
        <v>182858</v>
      </c>
    </row>
    <row r="114" spans="4:11" ht="30" x14ac:dyDescent="0.2">
      <c r="D114" s="1" t="s">
        <v>1714</v>
      </c>
      <c r="E114" s="1" t="s">
        <v>1717</v>
      </c>
      <c r="F114" t="s">
        <v>732</v>
      </c>
      <c r="G114" t="s">
        <v>1715</v>
      </c>
      <c r="H114">
        <f>22000*0.5</f>
        <v>11000</v>
      </c>
      <c r="I114" s="3">
        <f>ROUND(Tabla2[[#This Row],[COSTO]]/0.7,0)</f>
        <v>15714</v>
      </c>
      <c r="J114" s="3">
        <f>ROUND(Tabla2[[#This Row],[P GRAN MAYOR (30)]]/0.8,0)</f>
        <v>19643</v>
      </c>
      <c r="K114" s="8">
        <f>ROUND(Tabla2[[#This Row],[P POR MAYOR (20)]]/(1-0.375),0)</f>
        <v>31429</v>
      </c>
    </row>
    <row r="115" spans="4:11" ht="30" x14ac:dyDescent="0.2">
      <c r="D115" s="1" t="s">
        <v>1720</v>
      </c>
      <c r="E115" s="1" t="s">
        <v>1718</v>
      </c>
      <c r="F115" t="s">
        <v>732</v>
      </c>
      <c r="G115" t="s">
        <v>1719</v>
      </c>
      <c r="H115">
        <f>26000*0.5</f>
        <v>13000</v>
      </c>
      <c r="I115" s="3">
        <f>ROUND(Tabla2[[#This Row],[COSTO]]/0.7,0)</f>
        <v>18571</v>
      </c>
      <c r="J115" s="3">
        <f>ROUND(Tabla2[[#This Row],[P GRAN MAYOR (30)]]/0.8,0)</f>
        <v>23214</v>
      </c>
      <c r="K115" s="8">
        <f>ROUND(Tabla2[[#This Row],[P POR MAYOR (20)]]/(1-0.375),0)</f>
        <v>37142</v>
      </c>
    </row>
    <row r="116" spans="4:11" ht="30" x14ac:dyDescent="0.2">
      <c r="D116" s="1" t="s">
        <v>1722</v>
      </c>
      <c r="E116" s="1" t="s">
        <v>1723</v>
      </c>
      <c r="F116" t="s">
        <v>732</v>
      </c>
      <c r="G116" t="s">
        <v>1721</v>
      </c>
      <c r="H116">
        <f>26000*0.5</f>
        <v>13000</v>
      </c>
      <c r="I116" s="3">
        <f>ROUND(Tabla2[[#This Row],[COSTO]]/0.7,0)</f>
        <v>18571</v>
      </c>
      <c r="J116" s="3">
        <f>ROUND(Tabla2[[#This Row],[P GRAN MAYOR (30)]]/0.8,0)</f>
        <v>23214</v>
      </c>
      <c r="K116" s="8">
        <f>ROUND(Tabla2[[#This Row],[P POR MAYOR (20)]]/(1-0.375),0)</f>
        <v>37142</v>
      </c>
    </row>
    <row r="117" spans="4:11" ht="30" x14ac:dyDescent="0.2">
      <c r="D117" s="1" t="s">
        <v>1727</v>
      </c>
      <c r="E117" s="1" t="s">
        <v>1724</v>
      </c>
      <c r="F117" t="s">
        <v>732</v>
      </c>
      <c r="G117" t="s">
        <v>1726</v>
      </c>
      <c r="H117">
        <f>38000*0.5</f>
        <v>19000</v>
      </c>
      <c r="I117" s="3">
        <f>ROUND(Tabla2[[#This Row],[COSTO]]/0.7,0)</f>
        <v>27143</v>
      </c>
      <c r="J117" s="3">
        <f>ROUND(Tabla2[[#This Row],[P GRAN MAYOR (30)]]/0.8,0)</f>
        <v>33929</v>
      </c>
      <c r="K117" s="8">
        <f>ROUND(Tabla2[[#This Row],[P POR MAYOR (20)]]/(1-0.375),0)</f>
        <v>54286</v>
      </c>
    </row>
    <row r="118" spans="4:11" ht="45" x14ac:dyDescent="0.2">
      <c r="D118" s="1" t="s">
        <v>1725</v>
      </c>
      <c r="E118" s="1" t="s">
        <v>1776</v>
      </c>
      <c r="F118" t="s">
        <v>732</v>
      </c>
      <c r="G118" t="s">
        <v>1728</v>
      </c>
      <c r="H118">
        <f>39000*0.5</f>
        <v>19500</v>
      </c>
      <c r="I118" s="3">
        <f>ROUND(Tabla2[[#This Row],[COSTO]]/0.7,0)</f>
        <v>27857</v>
      </c>
      <c r="J118" s="3">
        <f>ROUND(Tabla2[[#This Row],[P GRAN MAYOR (30)]]/0.8,0)</f>
        <v>34821</v>
      </c>
      <c r="K118" s="8">
        <f>ROUND(Tabla2[[#This Row],[P POR MAYOR (20)]]/(1-0.375),0)</f>
        <v>55714</v>
      </c>
    </row>
    <row r="119" spans="4:11" ht="30" x14ac:dyDescent="0.2">
      <c r="D119" s="1" t="s">
        <v>1730</v>
      </c>
      <c r="E119" s="1" t="s">
        <v>1729</v>
      </c>
      <c r="F119" t="s">
        <v>732</v>
      </c>
      <c r="G119" t="s">
        <v>1731</v>
      </c>
      <c r="H119">
        <f>26000*0.5</f>
        <v>13000</v>
      </c>
      <c r="I119" s="3">
        <f>ROUND(Tabla2[[#This Row],[COSTO]]/0.7,0)</f>
        <v>18571</v>
      </c>
      <c r="J119" s="3">
        <f>ROUND(Tabla2[[#This Row],[P GRAN MAYOR (30)]]/0.8,0)</f>
        <v>23214</v>
      </c>
      <c r="K119" s="8">
        <f>ROUND(Tabla2[[#This Row],[P POR MAYOR (20)]]/(1-0.375),0)</f>
        <v>37142</v>
      </c>
    </row>
    <row r="120" spans="4:11" ht="45" x14ac:dyDescent="0.2">
      <c r="D120" s="1" t="s">
        <v>1733</v>
      </c>
      <c r="E120" s="1" t="s">
        <v>1732</v>
      </c>
      <c r="F120" t="s">
        <v>732</v>
      </c>
      <c r="G120" t="s">
        <v>1734</v>
      </c>
      <c r="H120">
        <f>16000*0.5</f>
        <v>8000</v>
      </c>
      <c r="I120" s="3">
        <f>ROUND(Tabla2[[#This Row],[COSTO]]/0.7,0)</f>
        <v>11429</v>
      </c>
      <c r="J120" s="3">
        <f>ROUND(Tabla2[[#This Row],[P GRAN MAYOR (30)]]/0.8,0)</f>
        <v>14286</v>
      </c>
      <c r="K120" s="8">
        <f>ROUND(Tabla2[[#This Row],[P POR MAYOR (20)]]/(1-0.375),0)</f>
        <v>22858</v>
      </c>
    </row>
    <row r="121" spans="4:11" x14ac:dyDescent="0.2">
      <c r="D121" s="1" t="s">
        <v>1736</v>
      </c>
      <c r="E121" s="1" t="s">
        <v>1786</v>
      </c>
      <c r="F121" t="s">
        <v>732</v>
      </c>
      <c r="G121" s="1" t="s">
        <v>1735</v>
      </c>
      <c r="H121">
        <f>15000*0.5</f>
        <v>7500</v>
      </c>
      <c r="I121" s="3">
        <f>ROUND(Tabla2[[#This Row],[COSTO]]/0.7,0)</f>
        <v>10714</v>
      </c>
      <c r="J121" s="3">
        <f>ROUND(Tabla2[[#This Row],[P GRAN MAYOR (30)]]/0.8,0)</f>
        <v>13393</v>
      </c>
      <c r="K121" s="8">
        <f>ROUND(Tabla2[[#This Row],[P POR MAYOR (20)]]/(1-0.375),0)</f>
        <v>21429</v>
      </c>
    </row>
    <row r="122" spans="4:11" ht="30" x14ac:dyDescent="0.2">
      <c r="D122" s="1" t="s">
        <v>1737</v>
      </c>
      <c r="E122" s="1" t="s">
        <v>1785</v>
      </c>
      <c r="F122" t="s">
        <v>732</v>
      </c>
      <c r="G122" t="s">
        <v>1738</v>
      </c>
      <c r="H122">
        <f>22000*0.5</f>
        <v>11000</v>
      </c>
      <c r="I122" s="3">
        <f>ROUND(Tabla2[[#This Row],[COSTO]]/0.7,0)</f>
        <v>15714</v>
      </c>
      <c r="J122" s="3">
        <f>ROUND(Tabla2[[#This Row],[P GRAN MAYOR (30)]]/0.8,0)</f>
        <v>19643</v>
      </c>
      <c r="K122" s="8">
        <f>ROUND(Tabla2[[#This Row],[P POR MAYOR (20)]]/(1-0.375),0)</f>
        <v>31429</v>
      </c>
    </row>
    <row r="123" spans="4:11" ht="30" x14ac:dyDescent="0.2">
      <c r="D123" s="1" t="s">
        <v>1771</v>
      </c>
      <c r="E123" s="1" t="s">
        <v>1769</v>
      </c>
      <c r="F123" t="s">
        <v>732</v>
      </c>
      <c r="G123" t="s">
        <v>1770</v>
      </c>
      <c r="H123">
        <f>14000*0.5</f>
        <v>7000</v>
      </c>
      <c r="I123" s="3">
        <f>ROUND(Tabla2[[#This Row],[COSTO]]/0.7,0)</f>
        <v>10000</v>
      </c>
      <c r="J123" s="3">
        <f>ROUND(Tabla2[[#This Row],[P GRAN MAYOR (30)]]/0.8,0)</f>
        <v>12500</v>
      </c>
      <c r="K123" s="8">
        <f>ROUND(Tabla2[[#This Row],[P POR MAYOR (20)]]/(1-0.375),0)</f>
        <v>20000</v>
      </c>
    </row>
    <row r="124" spans="4:11" ht="30" x14ac:dyDescent="0.2">
      <c r="D124" s="1" t="s">
        <v>1772</v>
      </c>
      <c r="E124" s="1" t="s">
        <v>1783</v>
      </c>
      <c r="F124" t="s">
        <v>732</v>
      </c>
      <c r="G124" t="s">
        <v>1773</v>
      </c>
      <c r="H124">
        <f>19000*0.5</f>
        <v>9500</v>
      </c>
      <c r="I124" s="3">
        <f>ROUND(Tabla2[[#This Row],[COSTO]]/0.7,0)</f>
        <v>13571</v>
      </c>
      <c r="J124" s="3">
        <f>ROUND(Tabla2[[#This Row],[P GRAN MAYOR (30)]]/0.8,0)</f>
        <v>16964</v>
      </c>
      <c r="K124" s="8">
        <f>ROUND(Tabla2[[#This Row],[P POR MAYOR (20)]]/(1-0.375),0)</f>
        <v>27142</v>
      </c>
    </row>
    <row r="125" spans="4:11" ht="30" x14ac:dyDescent="0.2">
      <c r="D125" s="1" t="s">
        <v>1774</v>
      </c>
      <c r="E125" s="1" t="s">
        <v>1784</v>
      </c>
      <c r="F125" t="s">
        <v>732</v>
      </c>
      <c r="G125" t="s">
        <v>1775</v>
      </c>
      <c r="H125">
        <f>19000*0.5</f>
        <v>9500</v>
      </c>
      <c r="I125" s="3">
        <f>ROUND(Tabla2[[#This Row],[COSTO]]/0.7,0)</f>
        <v>13571</v>
      </c>
      <c r="J125" s="3">
        <f>ROUND(Tabla2[[#This Row],[P GRAN MAYOR (30)]]/0.8,0)</f>
        <v>16964</v>
      </c>
      <c r="K125" s="8">
        <f>ROUND(Tabla2[[#This Row],[P POR MAYOR (20)]]/(1-0.375),0)</f>
        <v>27142</v>
      </c>
    </row>
    <row r="126" spans="4:11" x14ac:dyDescent="0.2">
      <c r="D126" s="1" t="s">
        <v>1789</v>
      </c>
      <c r="E126" s="1" t="s">
        <v>1787</v>
      </c>
      <c r="F126" t="s">
        <v>1788</v>
      </c>
      <c r="H126">
        <f>0.61*42000</f>
        <v>25620</v>
      </c>
      <c r="I126" s="3">
        <f>ROUND(Tabla2[[#This Row],[COSTO]]/0.7,0)</f>
        <v>36600</v>
      </c>
      <c r="J126" s="3">
        <f>ROUND(Tabla2[[#This Row],[P GRAN MAYOR (30)]]/0.8,0)</f>
        <v>45750</v>
      </c>
      <c r="K126" s="8">
        <f>ROUND(Tabla2[[#This Row],[P POR MAYOR (20)]]/(1-0.375),0)</f>
        <v>73200</v>
      </c>
    </row>
    <row r="127" spans="4:11" x14ac:dyDescent="0.2">
      <c r="D127" s="1" t="s">
        <v>1790</v>
      </c>
      <c r="E127" s="1" t="s">
        <v>1791</v>
      </c>
      <c r="F127" t="s">
        <v>1788</v>
      </c>
      <c r="H127">
        <f>0.8*42000</f>
        <v>33600</v>
      </c>
      <c r="I127" s="3">
        <f>ROUND(Tabla2[[#This Row],[COSTO]]/0.7,0)</f>
        <v>48000</v>
      </c>
      <c r="J127" s="3">
        <f>ROUND(Tabla2[[#This Row],[P GRAN MAYOR (30)]]/0.8,0)</f>
        <v>60000</v>
      </c>
      <c r="K127" s="8">
        <f>ROUND(Tabla2[[#This Row],[P POR MAYOR (20)]]/(1-0.375),0)</f>
        <v>96000</v>
      </c>
    </row>
  </sheetData>
  <phoneticPr fontId="7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868D-2CF5-1740-B816-B2DA5E759A47}">
  <dimension ref="D4:K28"/>
  <sheetViews>
    <sheetView topLeftCell="B1" zoomScale="134" workbookViewId="0">
      <selection activeCell="H15" sqref="H15"/>
    </sheetView>
  </sheetViews>
  <sheetFormatPr baseColWidth="10" defaultRowHeight="16" x14ac:dyDescent="0.2"/>
  <cols>
    <col min="4" max="4" width="31" customWidth="1"/>
    <col min="5" max="5" width="29.83203125" customWidth="1"/>
    <col min="6" max="6" width="13.6640625" customWidth="1"/>
    <col min="8" max="9" width="14.33203125" customWidth="1"/>
    <col min="10" max="11" width="16.33203125" customWidth="1"/>
  </cols>
  <sheetData>
    <row r="4" spans="4:11" x14ac:dyDescent="0.2">
      <c r="I4" s="20">
        <f>(I6-H6)/I6</f>
        <v>0.3</v>
      </c>
      <c r="J4" s="20">
        <f>(J6-H6)/J6</f>
        <v>0.44</v>
      </c>
      <c r="K4" s="20">
        <f>(K6-H6)/K6</f>
        <v>0.65</v>
      </c>
    </row>
    <row r="5" spans="4:11" x14ac:dyDescent="0.2"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1630</v>
      </c>
      <c r="J5" t="s">
        <v>5</v>
      </c>
      <c r="K5" t="s">
        <v>1631</v>
      </c>
    </row>
    <row r="6" spans="4:11" ht="34" x14ac:dyDescent="0.2">
      <c r="D6" s="1" t="s">
        <v>351</v>
      </c>
      <c r="E6" s="2" t="s">
        <v>352</v>
      </c>
      <c r="G6" s="2" t="s">
        <v>395</v>
      </c>
      <c r="H6">
        <v>2800</v>
      </c>
      <c r="I6">
        <f>ROUND(Tabla3[[#This Row],[COSTO]]/0.7,0)</f>
        <v>4000</v>
      </c>
      <c r="J6" s="3">
        <f>ROUND(Tabla3[[#This Row],[P GRAN MAYOR]]/0.8,0)</f>
        <v>5000</v>
      </c>
      <c r="K6" s="3">
        <f>ROUND(Tabla3[[#This Row],[P POR MAYOR]]/(1-0.375),0)</f>
        <v>8000</v>
      </c>
    </row>
    <row r="7" spans="4:11" ht="17" x14ac:dyDescent="0.2">
      <c r="D7" s="1" t="s">
        <v>353</v>
      </c>
      <c r="E7" s="2" t="s">
        <v>354</v>
      </c>
      <c r="G7" s="2" t="s">
        <v>396</v>
      </c>
      <c r="H7">
        <v>2400</v>
      </c>
      <c r="I7">
        <f>ROUND(Tabla3[[#This Row],[COSTO]]/0.7,0)</f>
        <v>3429</v>
      </c>
      <c r="J7" s="3">
        <f>ROUND(Tabla3[[#This Row],[P GRAN MAYOR]]/0.8,0)</f>
        <v>4286</v>
      </c>
      <c r="K7" s="3">
        <f>ROUND(Tabla3[[#This Row],[P POR MAYOR]]/(1-0.375),0)</f>
        <v>6858</v>
      </c>
    </row>
    <row r="8" spans="4:11" ht="17" x14ac:dyDescent="0.2">
      <c r="D8" s="1" t="s">
        <v>355</v>
      </c>
      <c r="E8" s="2" t="s">
        <v>356</v>
      </c>
      <c r="G8" s="2" t="s">
        <v>397</v>
      </c>
      <c r="H8">
        <v>2800</v>
      </c>
      <c r="I8">
        <f>ROUND(Tabla3[[#This Row],[COSTO]]/0.7,0)</f>
        <v>4000</v>
      </c>
      <c r="J8" s="3">
        <f>ROUND(Tabla3[[#This Row],[P GRAN MAYOR]]/0.8,0)</f>
        <v>5000</v>
      </c>
      <c r="K8" s="3">
        <f>ROUND(Tabla3[[#This Row],[P POR MAYOR]]/(1-0.375),0)</f>
        <v>8000</v>
      </c>
    </row>
    <row r="9" spans="4:11" ht="17" x14ac:dyDescent="0.2">
      <c r="D9" s="1" t="s">
        <v>357</v>
      </c>
      <c r="E9" s="2" t="s">
        <v>358</v>
      </c>
      <c r="G9" s="2" t="s">
        <v>116</v>
      </c>
      <c r="H9">
        <v>780</v>
      </c>
      <c r="I9">
        <f>ROUND(Tabla3[[#This Row],[COSTO]]/0.7,0)</f>
        <v>1114</v>
      </c>
      <c r="J9" s="3">
        <f>ROUND(Tabla3[[#This Row],[P GRAN MAYOR]]/0.8,0)</f>
        <v>1393</v>
      </c>
      <c r="K9" s="3">
        <f>ROUND(Tabla3[[#This Row],[P POR MAYOR]]/(1-0.375),0)</f>
        <v>2229</v>
      </c>
    </row>
    <row r="10" spans="4:11" ht="17" x14ac:dyDescent="0.2">
      <c r="D10" s="1" t="s">
        <v>359</v>
      </c>
      <c r="E10" s="2" t="s">
        <v>360</v>
      </c>
      <c r="G10" s="2" t="s">
        <v>398</v>
      </c>
      <c r="H10">
        <v>3000</v>
      </c>
      <c r="I10">
        <f>ROUND(Tabla3[[#This Row],[COSTO]]/0.7,0)</f>
        <v>4286</v>
      </c>
      <c r="J10" s="3">
        <f>ROUND(Tabla3[[#This Row],[P GRAN MAYOR]]/0.8,0)</f>
        <v>5358</v>
      </c>
      <c r="K10" s="3">
        <f>ROUND(Tabla3[[#This Row],[P POR MAYOR]]/(1-0.375),0)</f>
        <v>8573</v>
      </c>
    </row>
    <row r="11" spans="4:11" ht="17" x14ac:dyDescent="0.2">
      <c r="D11" s="1" t="s">
        <v>361</v>
      </c>
      <c r="E11" s="2" t="s">
        <v>362</v>
      </c>
      <c r="G11" s="2" t="s">
        <v>116</v>
      </c>
      <c r="H11">
        <v>2700</v>
      </c>
      <c r="I11">
        <f>ROUND(Tabla3[[#This Row],[COSTO]]/0.7,0)</f>
        <v>3857</v>
      </c>
      <c r="J11" s="3">
        <f>ROUND(Tabla3[[#This Row],[P GRAN MAYOR]]/0.8,0)</f>
        <v>4821</v>
      </c>
      <c r="K11" s="3">
        <f>ROUND(Tabla3[[#This Row],[P POR MAYOR]]/(1-0.375),0)</f>
        <v>7714</v>
      </c>
    </row>
    <row r="12" spans="4:11" ht="17" x14ac:dyDescent="0.2">
      <c r="D12" s="1" t="s">
        <v>363</v>
      </c>
      <c r="E12" s="2" t="s">
        <v>364</v>
      </c>
      <c r="G12" s="2" t="s">
        <v>116</v>
      </c>
      <c r="H12">
        <v>1350</v>
      </c>
      <c r="I12">
        <f>ROUND(Tabla3[[#This Row],[COSTO]]/0.7,0)</f>
        <v>1929</v>
      </c>
      <c r="J12" s="3">
        <f>ROUND(Tabla3[[#This Row],[P GRAN MAYOR]]/0.8,0)</f>
        <v>2411</v>
      </c>
      <c r="K12" s="3">
        <f>ROUND(Tabla3[[#This Row],[P POR MAYOR]]/(1-0.375),0)</f>
        <v>3858</v>
      </c>
    </row>
    <row r="13" spans="4:11" ht="30" x14ac:dyDescent="0.2">
      <c r="D13" s="1" t="s">
        <v>365</v>
      </c>
      <c r="E13" s="1" t="s">
        <v>366</v>
      </c>
      <c r="G13" s="2" t="s">
        <v>116</v>
      </c>
      <c r="H13">
        <v>1500</v>
      </c>
      <c r="I13">
        <f>ROUND(Tabla3[[#This Row],[COSTO]]/0.7,0)</f>
        <v>2143</v>
      </c>
      <c r="J13" s="3">
        <f>ROUND(Tabla3[[#This Row],[P GRAN MAYOR]]/0.8,0)</f>
        <v>2679</v>
      </c>
      <c r="K13" s="3">
        <f>ROUND(Tabla3[[#This Row],[P POR MAYOR]]/(1-0.375),0)</f>
        <v>4286</v>
      </c>
    </row>
    <row r="14" spans="4:11" ht="17" x14ac:dyDescent="0.2">
      <c r="D14" s="1" t="s">
        <v>367</v>
      </c>
      <c r="E14" s="2" t="s">
        <v>368</v>
      </c>
      <c r="G14" s="2" t="s">
        <v>116</v>
      </c>
      <c r="H14">
        <v>6930</v>
      </c>
      <c r="I14">
        <f>ROUND(Tabla3[[#This Row],[COSTO]]/0.7,0)</f>
        <v>9900</v>
      </c>
      <c r="J14" s="3">
        <f>ROUND(Tabla3[[#This Row],[P GRAN MAYOR]]/0.8,0)</f>
        <v>12375</v>
      </c>
      <c r="K14" s="3">
        <f>ROUND(Tabla3[[#This Row],[P POR MAYOR]]/(1-0.375),0)</f>
        <v>19800</v>
      </c>
    </row>
    <row r="15" spans="4:11" ht="17" x14ac:dyDescent="0.2">
      <c r="D15" s="1" t="s">
        <v>369</v>
      </c>
      <c r="E15" s="2" t="s">
        <v>370</v>
      </c>
      <c r="G15" s="2" t="s">
        <v>116</v>
      </c>
      <c r="H15">
        <v>4100</v>
      </c>
      <c r="I15">
        <f>ROUND(Tabla3[[#This Row],[COSTO]]/0.7,0)</f>
        <v>5857</v>
      </c>
      <c r="J15" s="3">
        <f>ROUND(Tabla3[[#This Row],[P GRAN MAYOR]]/0.8,0)</f>
        <v>7321</v>
      </c>
      <c r="K15" s="3">
        <f>ROUND(Tabla3[[#This Row],[P POR MAYOR]]/(1-0.375),0)</f>
        <v>11714</v>
      </c>
    </row>
    <row r="16" spans="4:11" ht="17" x14ac:dyDescent="0.2">
      <c r="D16" s="1" t="s">
        <v>371</v>
      </c>
      <c r="E16" s="2" t="s">
        <v>372</v>
      </c>
      <c r="G16" s="2" t="s">
        <v>399</v>
      </c>
      <c r="H16">
        <v>4800</v>
      </c>
      <c r="I16">
        <f>ROUND(Tabla3[[#This Row],[COSTO]]/0.7,0)</f>
        <v>6857</v>
      </c>
      <c r="J16" s="3">
        <f>ROUND(Tabla3[[#This Row],[P GRAN MAYOR]]/0.8,0)</f>
        <v>8571</v>
      </c>
      <c r="K16" s="3">
        <f>ROUND(Tabla3[[#This Row],[P POR MAYOR]]/(1-0.375),0)</f>
        <v>13714</v>
      </c>
    </row>
    <row r="17" spans="4:11" ht="51" x14ac:dyDescent="0.2">
      <c r="D17" s="1" t="s">
        <v>373</v>
      </c>
      <c r="E17" s="2" t="s">
        <v>374</v>
      </c>
      <c r="G17" s="2" t="s">
        <v>116</v>
      </c>
      <c r="H17">
        <v>1550</v>
      </c>
      <c r="I17">
        <f>ROUND(Tabla3[[#This Row],[COSTO]]/0.7,0)</f>
        <v>2214</v>
      </c>
      <c r="J17" s="3">
        <f>ROUND(Tabla3[[#This Row],[P GRAN MAYOR]]/0.8,0)</f>
        <v>2768</v>
      </c>
      <c r="K17" s="3">
        <f>ROUND(Tabla3[[#This Row],[P POR MAYOR]]/(1-0.375),0)</f>
        <v>4429</v>
      </c>
    </row>
    <row r="18" spans="4:11" ht="30" x14ac:dyDescent="0.2">
      <c r="D18" s="1" t="s">
        <v>375</v>
      </c>
      <c r="E18" s="1" t="s">
        <v>376</v>
      </c>
      <c r="G18" s="2" t="s">
        <v>116</v>
      </c>
      <c r="H18">
        <v>2900</v>
      </c>
      <c r="I18">
        <f>ROUND(Tabla3[[#This Row],[COSTO]]/0.7,0)</f>
        <v>4143</v>
      </c>
      <c r="J18" s="3">
        <f>ROUND(Tabla3[[#This Row],[P GRAN MAYOR]]/0.8,0)</f>
        <v>5179</v>
      </c>
      <c r="K18" s="3">
        <f>ROUND(Tabla3[[#This Row],[P POR MAYOR]]/(1-0.375),0)</f>
        <v>8286</v>
      </c>
    </row>
    <row r="19" spans="4:11" ht="51" x14ac:dyDescent="0.2">
      <c r="D19" s="1" t="s">
        <v>377</v>
      </c>
      <c r="E19" s="2" t="s">
        <v>378</v>
      </c>
      <c r="G19" s="2" t="s">
        <v>116</v>
      </c>
      <c r="H19">
        <v>2450</v>
      </c>
      <c r="I19">
        <f>ROUND(Tabla3[[#This Row],[COSTO]]/0.7,0)</f>
        <v>3500</v>
      </c>
      <c r="J19" s="3">
        <f>ROUND(Tabla3[[#This Row],[P GRAN MAYOR]]/0.8,0)</f>
        <v>4375</v>
      </c>
      <c r="K19" s="3">
        <f>ROUND(Tabla3[[#This Row],[P POR MAYOR]]/(1-0.375),0)</f>
        <v>7000</v>
      </c>
    </row>
    <row r="20" spans="4:11" ht="51" x14ac:dyDescent="0.2">
      <c r="D20" s="1" t="s">
        <v>379</v>
      </c>
      <c r="E20" s="2" t="s">
        <v>380</v>
      </c>
      <c r="G20" s="2" t="s">
        <v>116</v>
      </c>
      <c r="H20">
        <v>3500</v>
      </c>
      <c r="I20">
        <f>ROUND(Tabla3[[#This Row],[COSTO]]/0.7,0)</f>
        <v>5000</v>
      </c>
      <c r="J20" s="3">
        <f>ROUND(Tabla3[[#This Row],[P GRAN MAYOR]]/0.8,0)</f>
        <v>6250</v>
      </c>
      <c r="K20" s="3">
        <f>ROUND(Tabla3[[#This Row],[P POR MAYOR]]/(1-0.375),0)</f>
        <v>10000</v>
      </c>
    </row>
    <row r="21" spans="4:11" ht="51" x14ac:dyDescent="0.2">
      <c r="D21" s="1" t="s">
        <v>381</v>
      </c>
      <c r="E21" s="2" t="s">
        <v>382</v>
      </c>
      <c r="G21" s="2" t="s">
        <v>116</v>
      </c>
      <c r="H21">
        <v>5850</v>
      </c>
      <c r="I21">
        <f>ROUND(Tabla3[[#This Row],[COSTO]]/0.7,0)</f>
        <v>8357</v>
      </c>
      <c r="J21" s="3">
        <f>ROUND(Tabla3[[#This Row],[P GRAN MAYOR]]/0.8,0)</f>
        <v>10446</v>
      </c>
      <c r="K21" s="3">
        <f>ROUND(Tabla3[[#This Row],[P POR MAYOR]]/(1-0.375),0)</f>
        <v>16714</v>
      </c>
    </row>
    <row r="22" spans="4:11" ht="17" x14ac:dyDescent="0.2">
      <c r="D22" s="1" t="s">
        <v>383</v>
      </c>
      <c r="E22" s="1" t="s">
        <v>384</v>
      </c>
      <c r="G22" s="2" t="s">
        <v>116</v>
      </c>
      <c r="H22">
        <v>4900</v>
      </c>
      <c r="I22">
        <f>ROUND(Tabla3[[#This Row],[COSTO]]/0.7,0)</f>
        <v>7000</v>
      </c>
      <c r="J22" s="3">
        <f>ROUND(Tabla3[[#This Row],[P GRAN MAYOR]]/0.8,0)</f>
        <v>8750</v>
      </c>
      <c r="K22" s="3">
        <f>ROUND(Tabla3[[#This Row],[P POR MAYOR]]/(1-0.375),0)</f>
        <v>14000</v>
      </c>
    </row>
    <row r="23" spans="4:11" ht="17" x14ac:dyDescent="0.2">
      <c r="D23" s="1" t="s">
        <v>385</v>
      </c>
      <c r="E23" s="2" t="s">
        <v>386</v>
      </c>
      <c r="G23" s="2" t="s">
        <v>116</v>
      </c>
      <c r="H23">
        <v>850</v>
      </c>
      <c r="I23">
        <f>ROUND(Tabla3[[#This Row],[COSTO]]/0.7,0)</f>
        <v>1214</v>
      </c>
      <c r="J23" s="3">
        <f>ROUND(Tabla3[[#This Row],[P GRAN MAYOR]]/0.8,0)</f>
        <v>1518</v>
      </c>
      <c r="K23" s="3">
        <f>ROUND(Tabla3[[#This Row],[P POR MAYOR]]/(1-0.375),0)</f>
        <v>2429</v>
      </c>
    </row>
    <row r="24" spans="4:11" ht="17" x14ac:dyDescent="0.2">
      <c r="D24" s="1" t="s">
        <v>387</v>
      </c>
      <c r="E24" s="1" t="s">
        <v>388</v>
      </c>
      <c r="G24" s="2" t="s">
        <v>400</v>
      </c>
      <c r="H24">
        <v>2500</v>
      </c>
      <c r="I24">
        <f>ROUND(Tabla3[[#This Row],[COSTO]]/0.7,0)</f>
        <v>3571</v>
      </c>
      <c r="J24" s="3">
        <f>ROUND(Tabla3[[#This Row],[P GRAN MAYOR]]/0.8,0)</f>
        <v>4464</v>
      </c>
      <c r="K24" s="3">
        <f>ROUND(Tabla3[[#This Row],[P POR MAYOR]]/(1-0.375),0)</f>
        <v>7142</v>
      </c>
    </row>
    <row r="25" spans="4:11" ht="17" x14ac:dyDescent="0.2">
      <c r="D25" s="1" t="s">
        <v>389</v>
      </c>
      <c r="E25" s="1" t="s">
        <v>390</v>
      </c>
      <c r="G25" s="2" t="s">
        <v>401</v>
      </c>
      <c r="H25">
        <v>3500</v>
      </c>
      <c r="I25">
        <f>ROUND(Tabla3[[#This Row],[COSTO]]/0.7,0)</f>
        <v>5000</v>
      </c>
      <c r="J25" s="3">
        <f>ROUND(Tabla3[[#This Row],[P GRAN MAYOR]]/0.8,0)</f>
        <v>6250</v>
      </c>
      <c r="K25" s="3">
        <f>ROUND(Tabla3[[#This Row],[P POR MAYOR]]/(1-0.375),0)</f>
        <v>10000</v>
      </c>
    </row>
    <row r="26" spans="4:11" ht="17" x14ac:dyDescent="0.2">
      <c r="D26" s="1" t="s">
        <v>391</v>
      </c>
      <c r="E26" s="1" t="s">
        <v>392</v>
      </c>
      <c r="G26" s="2" t="s">
        <v>402</v>
      </c>
      <c r="H26">
        <v>6700</v>
      </c>
      <c r="I26">
        <f>ROUND(Tabla3[[#This Row],[COSTO]]/0.7,0)</f>
        <v>9571</v>
      </c>
      <c r="J26" s="3">
        <f>ROUND(Tabla3[[#This Row],[P GRAN MAYOR]]/0.8,0)</f>
        <v>11964</v>
      </c>
      <c r="K26" s="3">
        <f>ROUND(Tabla3[[#This Row],[P POR MAYOR]]/(1-0.375),0)</f>
        <v>19142</v>
      </c>
    </row>
    <row r="27" spans="4:11" ht="17" x14ac:dyDescent="0.2">
      <c r="D27" s="1" t="s">
        <v>393</v>
      </c>
      <c r="E27" s="1" t="s">
        <v>394</v>
      </c>
      <c r="G27" s="2" t="s">
        <v>403</v>
      </c>
      <c r="H27">
        <v>1500</v>
      </c>
      <c r="I27">
        <f>ROUND(Tabla3[[#This Row],[COSTO]]/0.7,0)</f>
        <v>2143</v>
      </c>
      <c r="J27" s="3">
        <f>ROUND(Tabla3[[#This Row],[P GRAN MAYOR]]/0.8,0)</f>
        <v>2679</v>
      </c>
      <c r="K27" s="3">
        <f>ROUND(Tabla3[[#This Row],[P POR MAYOR]]/(1-0.375),0)</f>
        <v>4286</v>
      </c>
    </row>
    <row r="28" spans="4:11" ht="17" x14ac:dyDescent="0.2">
      <c r="D28" s="1" t="s">
        <v>1781</v>
      </c>
      <c r="E28" s="1" t="s">
        <v>1780</v>
      </c>
      <c r="G28" s="2" t="s">
        <v>1782</v>
      </c>
      <c r="H28">
        <v>2500</v>
      </c>
      <c r="I28">
        <f>ROUND(Tabla3[[#This Row],[COSTO]]/0.7,0)</f>
        <v>3571</v>
      </c>
      <c r="J28" s="3">
        <f>ROUND(Tabla3[[#This Row],[P GRAN MAYOR]]/0.8,0)</f>
        <v>4464</v>
      </c>
      <c r="K28" s="3">
        <f>ROUND(Tabla3[[#This Row],[P POR MAYOR]]/(1-0.375),0)</f>
        <v>7142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F88C-AD97-374F-B915-E879FD0F2AE3}">
  <dimension ref="D4:R173"/>
  <sheetViews>
    <sheetView topLeftCell="C1" zoomScale="167" zoomScaleNormal="62" workbookViewId="0">
      <selection activeCell="E16" sqref="E16"/>
    </sheetView>
  </sheetViews>
  <sheetFormatPr baseColWidth="10" defaultRowHeight="16" x14ac:dyDescent="0.2"/>
  <cols>
    <col min="4" max="4" width="46.5" customWidth="1"/>
    <col min="5" max="5" width="34" bestFit="1" customWidth="1"/>
    <col min="6" max="7" width="12.83203125" customWidth="1"/>
    <col min="8" max="8" width="9.5" bestFit="1" customWidth="1"/>
    <col min="9" max="9" width="12.1640625" bestFit="1" customWidth="1"/>
    <col min="10" max="10" width="17.1640625" bestFit="1" customWidth="1"/>
    <col min="11" max="11" width="17.1640625" customWidth="1"/>
  </cols>
  <sheetData>
    <row r="4" spans="4:18" x14ac:dyDescent="0.2">
      <c r="I4" s="20">
        <f>(I6-H6)/I6</f>
        <v>0.30001028136673635</v>
      </c>
      <c r="J4" s="20">
        <f>(J6-H6)/J6</f>
        <v>0.44001206338761856</v>
      </c>
      <c r="K4" s="20">
        <f>(K6-H6)/K6</f>
        <v>0.65000514068336812</v>
      </c>
    </row>
    <row r="5" spans="4:18" x14ac:dyDescent="0.2"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1630</v>
      </c>
      <c r="J5" t="s">
        <v>5</v>
      </c>
      <c r="K5" t="s">
        <v>1631</v>
      </c>
      <c r="O5" t="s">
        <v>1493</v>
      </c>
      <c r="P5" t="s">
        <v>1490</v>
      </c>
      <c r="Q5" t="s">
        <v>1489</v>
      </c>
      <c r="R5" t="s">
        <v>1492</v>
      </c>
    </row>
    <row r="6" spans="4:18" ht="17" x14ac:dyDescent="0.2">
      <c r="D6" s="1" t="s">
        <v>404</v>
      </c>
      <c r="E6" s="1" t="s">
        <v>405</v>
      </c>
      <c r="F6" t="s">
        <v>134</v>
      </c>
      <c r="G6" s="2" t="s">
        <v>636</v>
      </c>
      <c r="H6">
        <v>20425</v>
      </c>
      <c r="I6" s="8">
        <f>ROUND(Tabla4[[#This Row],[COSTO]]/0.7,0)</f>
        <v>29179</v>
      </c>
      <c r="J6" s="3">
        <f>ROUND(Tabla4[[#This Row],[P GRAN MAYOR]]/0.8,0)</f>
        <v>36474</v>
      </c>
      <c r="K6" s="3">
        <f>ROUND(Tabla4[[#This Row],[P POR MAYOR]]/(1-0.375),0)</f>
        <v>58358</v>
      </c>
    </row>
    <row r="7" spans="4:18" x14ac:dyDescent="0.2">
      <c r="D7" s="1" t="s">
        <v>406</v>
      </c>
      <c r="E7" s="1" t="s">
        <v>407</v>
      </c>
      <c r="F7" t="s">
        <v>134</v>
      </c>
      <c r="G7" s="1" t="s">
        <v>637</v>
      </c>
      <c r="H7">
        <v>8075</v>
      </c>
      <c r="I7" s="8">
        <f>ROUND(Tabla4[[#This Row],[COSTO]]/0.7,0)</f>
        <v>11536</v>
      </c>
      <c r="J7" s="3">
        <f>ROUND(Tabla4[[#This Row],[P GRAN MAYOR]]/0.8,0)</f>
        <v>14420</v>
      </c>
      <c r="K7" s="3">
        <f>ROUND(Tabla4[[#This Row],[P POR MAYOR]]/(1-0.375),0)</f>
        <v>23072</v>
      </c>
    </row>
    <row r="8" spans="4:18" ht="17" x14ac:dyDescent="0.2">
      <c r="D8" s="1" t="s">
        <v>408</v>
      </c>
      <c r="E8" s="1" t="s">
        <v>409</v>
      </c>
      <c r="F8" t="s">
        <v>134</v>
      </c>
      <c r="G8" s="2" t="s">
        <v>638</v>
      </c>
      <c r="H8">
        <v>8075</v>
      </c>
      <c r="I8" s="8">
        <f>ROUND(Tabla4[[#This Row],[COSTO]]/0.7,0)</f>
        <v>11536</v>
      </c>
      <c r="J8" s="3">
        <f>ROUND(Tabla4[[#This Row],[P GRAN MAYOR]]/0.8,0)</f>
        <v>14420</v>
      </c>
      <c r="K8" s="3">
        <f>ROUND(Tabla4[[#This Row],[P POR MAYOR]]/(1-0.375),0)</f>
        <v>23072</v>
      </c>
    </row>
    <row r="9" spans="4:18" x14ac:dyDescent="0.2">
      <c r="D9" s="1" t="s">
        <v>410</v>
      </c>
      <c r="E9" s="1" t="s">
        <v>411</v>
      </c>
      <c r="F9" t="s">
        <v>134</v>
      </c>
      <c r="G9" s="1" t="s">
        <v>639</v>
      </c>
      <c r="H9">
        <v>9500</v>
      </c>
      <c r="I9" s="8">
        <f>ROUND(Tabla4[[#This Row],[COSTO]]/0.7,0)</f>
        <v>13571</v>
      </c>
      <c r="J9" s="3">
        <f>ROUND(Tabla4[[#This Row],[P GRAN MAYOR]]/0.8,0)</f>
        <v>16964</v>
      </c>
      <c r="K9" s="3">
        <f>ROUND(Tabla4[[#This Row],[P POR MAYOR]]/(1-0.375),0)</f>
        <v>27142</v>
      </c>
    </row>
    <row r="10" spans="4:18" ht="30" x14ac:dyDescent="0.2">
      <c r="D10" s="1" t="s">
        <v>412</v>
      </c>
      <c r="E10" s="1" t="s">
        <v>413</v>
      </c>
      <c r="F10" t="s">
        <v>132</v>
      </c>
      <c r="G10" s="2" t="s">
        <v>640</v>
      </c>
      <c r="H10">
        <v>14400</v>
      </c>
      <c r="I10" s="8">
        <f>ROUND(Tabla4[[#This Row],[COSTO]]/0.7,0)</f>
        <v>20571</v>
      </c>
      <c r="J10" s="3">
        <f>ROUND(Tabla4[[#This Row],[P GRAN MAYOR]]/0.8,0)</f>
        <v>25714</v>
      </c>
      <c r="K10" s="3">
        <f>ROUND(Tabla4[[#This Row],[P POR MAYOR]]/(1-0.375),0)</f>
        <v>41142</v>
      </c>
    </row>
    <row r="11" spans="4:18" ht="17" x14ac:dyDescent="0.2">
      <c r="D11" s="1" t="s">
        <v>414</v>
      </c>
      <c r="E11" s="1" t="s">
        <v>415</v>
      </c>
      <c r="F11" t="s">
        <v>134</v>
      </c>
      <c r="G11" s="2" t="s">
        <v>641</v>
      </c>
      <c r="H11">
        <v>12825</v>
      </c>
      <c r="I11" s="8">
        <f>ROUND(Tabla4[[#This Row],[COSTO]]/0.7,0)</f>
        <v>18321</v>
      </c>
      <c r="J11" s="3">
        <f>ROUND(Tabla4[[#This Row],[P GRAN MAYOR]]/0.8,0)</f>
        <v>22901</v>
      </c>
      <c r="K11" s="3">
        <f>ROUND(Tabla4[[#This Row],[P POR MAYOR]]/(1-0.375),0)</f>
        <v>36642</v>
      </c>
    </row>
    <row r="12" spans="4:18" x14ac:dyDescent="0.2">
      <c r="D12" s="1" t="s">
        <v>416</v>
      </c>
      <c r="E12" s="1" t="s">
        <v>417</v>
      </c>
      <c r="F12" t="s">
        <v>134</v>
      </c>
      <c r="G12" s="1" t="s">
        <v>642</v>
      </c>
      <c r="H12">
        <v>7125</v>
      </c>
      <c r="I12" s="8">
        <f>ROUND(Tabla4[[#This Row],[COSTO]]/0.7,0)</f>
        <v>10179</v>
      </c>
      <c r="J12" s="3">
        <f>ROUND(Tabla4[[#This Row],[P GRAN MAYOR]]/0.8,0)</f>
        <v>12724</v>
      </c>
      <c r="K12" s="3">
        <f>ROUND(Tabla4[[#This Row],[P POR MAYOR]]/(1-0.375),0)</f>
        <v>20358</v>
      </c>
    </row>
    <row r="13" spans="4:18" ht="17" x14ac:dyDescent="0.2">
      <c r="D13" s="1" t="s">
        <v>418</v>
      </c>
      <c r="E13" s="1" t="s">
        <v>419</v>
      </c>
      <c r="F13" t="s">
        <v>132</v>
      </c>
      <c r="G13" s="2" t="s">
        <v>643</v>
      </c>
      <c r="H13">
        <v>54000</v>
      </c>
      <c r="I13" s="8">
        <f>ROUND(Tabla4[[#This Row],[COSTO]]/0.7,0)</f>
        <v>77143</v>
      </c>
      <c r="J13" s="3">
        <f>ROUND(Tabla4[[#This Row],[P GRAN MAYOR]]/0.8,0)</f>
        <v>96429</v>
      </c>
      <c r="K13" s="3">
        <f>ROUND(Tabla4[[#This Row],[P POR MAYOR]]/(1-0.375),0)</f>
        <v>154286</v>
      </c>
    </row>
    <row r="14" spans="4:18" ht="17" x14ac:dyDescent="0.2">
      <c r="D14" s="1" t="s">
        <v>420</v>
      </c>
      <c r="E14" s="1" t="s">
        <v>421</v>
      </c>
      <c r="F14" t="s">
        <v>132</v>
      </c>
      <c r="G14" s="2" t="s">
        <v>644</v>
      </c>
      <c r="I14" s="8">
        <f>ROUND(Tabla4[[#This Row],[COSTO]]/0.7,0)</f>
        <v>0</v>
      </c>
      <c r="J14" s="3">
        <f>ROUND(Tabla4[[#This Row],[P GRAN MAYOR]]/0.8,0)</f>
        <v>0</v>
      </c>
      <c r="K14" s="3">
        <f>ROUND(Tabla4[[#This Row],[P POR MAYOR]]/(1-0.375),0)</f>
        <v>0</v>
      </c>
    </row>
    <row r="15" spans="4:18" ht="17" x14ac:dyDescent="0.2">
      <c r="D15" s="1" t="s">
        <v>422</v>
      </c>
      <c r="E15" s="1" t="s">
        <v>423</v>
      </c>
      <c r="F15" t="s">
        <v>134</v>
      </c>
      <c r="G15" s="2" t="s">
        <v>645</v>
      </c>
      <c r="H15">
        <v>8075</v>
      </c>
      <c r="I15" s="8">
        <f>ROUND(Tabla4[[#This Row],[COSTO]]/0.7,0)</f>
        <v>11536</v>
      </c>
      <c r="J15" s="3">
        <f>ROUND(Tabla4[[#This Row],[P GRAN MAYOR]]/0.8,0)</f>
        <v>14420</v>
      </c>
      <c r="K15" s="3">
        <f>ROUND(Tabla4[[#This Row],[P POR MAYOR]]/(1-0.375),0)</f>
        <v>23072</v>
      </c>
    </row>
    <row r="16" spans="4:18" x14ac:dyDescent="0.2">
      <c r="D16" s="1" t="s">
        <v>424</v>
      </c>
      <c r="E16" s="1" t="s">
        <v>425</v>
      </c>
      <c r="F16" t="s">
        <v>134</v>
      </c>
      <c r="G16" s="1" t="s">
        <v>646</v>
      </c>
      <c r="H16">
        <v>16625</v>
      </c>
      <c r="I16" s="8">
        <f>ROUND(Tabla4[[#This Row],[COSTO]]/0.7,0)</f>
        <v>23750</v>
      </c>
      <c r="J16" s="3">
        <f>ROUND(Tabla4[[#This Row],[P GRAN MAYOR]]/0.8,0)</f>
        <v>29688</v>
      </c>
      <c r="K16" s="3">
        <f>ROUND(Tabla4[[#This Row],[P POR MAYOR]]/(1-0.375),0)</f>
        <v>47501</v>
      </c>
    </row>
    <row r="17" spans="4:18" ht="17" x14ac:dyDescent="0.2">
      <c r="D17" s="1" t="s">
        <v>426</v>
      </c>
      <c r="E17" s="1" t="s">
        <v>427</v>
      </c>
      <c r="F17" t="s">
        <v>131</v>
      </c>
      <c r="G17" s="2" t="s">
        <v>116</v>
      </c>
      <c r="H17">
        <v>13760</v>
      </c>
      <c r="I17" s="8">
        <f>ROUND(Tabla4[[#This Row],[COSTO]]/0.7,0)</f>
        <v>19657</v>
      </c>
      <c r="J17" s="3">
        <f>ROUND(Tabla4[[#This Row],[P GRAN MAYOR]]/0.8,0)</f>
        <v>24571</v>
      </c>
      <c r="K17" s="3">
        <f>ROUND(Tabla4[[#This Row],[P POR MAYOR]]/(1-0.375),0)</f>
        <v>39314</v>
      </c>
    </row>
    <row r="18" spans="4:18" x14ac:dyDescent="0.2">
      <c r="D18" s="1" t="s">
        <v>428</v>
      </c>
      <c r="E18" s="1" t="s">
        <v>429</v>
      </c>
      <c r="F18" t="s">
        <v>134</v>
      </c>
      <c r="G18" s="1" t="s">
        <v>647</v>
      </c>
      <c r="H18">
        <v>9025</v>
      </c>
      <c r="I18" s="8">
        <f>ROUND(Tabla4[[#This Row],[COSTO]]/0.7,0)</f>
        <v>12893</v>
      </c>
      <c r="J18" s="3">
        <f>ROUND(Tabla4[[#This Row],[P GRAN MAYOR]]/0.8,0)</f>
        <v>16116</v>
      </c>
      <c r="K18" s="3">
        <f>ROUND(Tabla4[[#This Row],[P POR MAYOR]]/(1-0.375),0)</f>
        <v>25786</v>
      </c>
    </row>
    <row r="19" spans="4:18" ht="30" x14ac:dyDescent="0.2">
      <c r="D19" s="1" t="s">
        <v>430</v>
      </c>
      <c r="E19" s="1" t="s">
        <v>431</v>
      </c>
      <c r="F19" t="s">
        <v>134</v>
      </c>
      <c r="G19" s="1" t="s">
        <v>648</v>
      </c>
      <c r="H19">
        <v>11875</v>
      </c>
      <c r="I19" s="8">
        <f>ROUND(Tabla4[[#This Row],[COSTO]]/0.7,0)</f>
        <v>16964</v>
      </c>
      <c r="J19" s="3">
        <f>ROUND(Tabla4[[#This Row],[P GRAN MAYOR]]/0.8,0)</f>
        <v>21205</v>
      </c>
      <c r="K19" s="3">
        <f>ROUND(Tabla4[[#This Row],[P POR MAYOR]]/(1-0.375),0)</f>
        <v>33928</v>
      </c>
    </row>
    <row r="20" spans="4:18" ht="17" x14ac:dyDescent="0.2">
      <c r="D20" s="1" t="s">
        <v>432</v>
      </c>
      <c r="E20" s="1" t="s">
        <v>433</v>
      </c>
      <c r="F20" t="s">
        <v>132</v>
      </c>
      <c r="G20" s="2" t="s">
        <v>649</v>
      </c>
      <c r="H20">
        <v>52200</v>
      </c>
      <c r="I20" s="8">
        <f>ROUND(Tabla4[[#This Row],[COSTO]]/0.7,0)</f>
        <v>74571</v>
      </c>
      <c r="J20" s="3">
        <f>ROUND(Tabla4[[#This Row],[P GRAN MAYOR]]/0.8,0)</f>
        <v>93214</v>
      </c>
      <c r="K20" s="3">
        <f>ROUND(Tabla4[[#This Row],[P POR MAYOR]]/(1-0.375),0)</f>
        <v>149142</v>
      </c>
    </row>
    <row r="21" spans="4:18" ht="17" x14ac:dyDescent="0.2">
      <c r="D21" s="1" t="s">
        <v>434</v>
      </c>
      <c r="E21" s="1" t="s">
        <v>435</v>
      </c>
      <c r="F21" t="s">
        <v>134</v>
      </c>
      <c r="G21" s="2" t="s">
        <v>650</v>
      </c>
      <c r="H21">
        <v>8075</v>
      </c>
      <c r="I21" s="8">
        <f>ROUND(Tabla4[[#This Row],[COSTO]]/0.7,0)</f>
        <v>11536</v>
      </c>
      <c r="J21" s="3">
        <f>ROUND(Tabla4[[#This Row],[P GRAN MAYOR]]/0.8,0)</f>
        <v>14420</v>
      </c>
      <c r="K21" s="3">
        <f>ROUND(Tabla4[[#This Row],[P POR MAYOR]]/(1-0.375),0)</f>
        <v>23072</v>
      </c>
    </row>
    <row r="22" spans="4:18" ht="17" x14ac:dyDescent="0.2">
      <c r="D22" s="1" t="s">
        <v>436</v>
      </c>
      <c r="E22" s="1" t="s">
        <v>437</v>
      </c>
      <c r="F22" t="s">
        <v>132</v>
      </c>
      <c r="G22" s="2" t="s">
        <v>651</v>
      </c>
      <c r="H22">
        <v>38700</v>
      </c>
      <c r="I22" s="8">
        <f>ROUND(Tabla4[[#This Row],[COSTO]]/0.7,0)</f>
        <v>55286</v>
      </c>
      <c r="J22" s="3">
        <f>ROUND(Tabla4[[#This Row],[P GRAN MAYOR]]/0.8,0)</f>
        <v>69108</v>
      </c>
      <c r="K22" s="3">
        <f>ROUND(Tabla4[[#This Row],[P POR MAYOR]]/(1-0.375),0)</f>
        <v>110573</v>
      </c>
    </row>
    <row r="23" spans="4:18" ht="17" x14ac:dyDescent="0.2">
      <c r="D23" s="1" t="s">
        <v>438</v>
      </c>
      <c r="E23" s="1" t="s">
        <v>439</v>
      </c>
      <c r="F23" t="s">
        <v>134</v>
      </c>
      <c r="G23" s="2" t="s">
        <v>652</v>
      </c>
      <c r="H23">
        <v>9310</v>
      </c>
      <c r="I23" s="8">
        <f>ROUND(Tabla4[[#This Row],[COSTO]]/0.7,0)</f>
        <v>13300</v>
      </c>
      <c r="J23" s="3">
        <f>ROUND(Tabla4[[#This Row],[P GRAN MAYOR]]/0.8,0)</f>
        <v>16625</v>
      </c>
      <c r="K23" s="3">
        <f>ROUND(Tabla4[[#This Row],[P POR MAYOR]]/(1-0.375),0)</f>
        <v>26600</v>
      </c>
    </row>
    <row r="24" spans="4:18" ht="17" x14ac:dyDescent="0.2">
      <c r="D24" s="1" t="s">
        <v>440</v>
      </c>
      <c r="E24" s="1" t="s">
        <v>441</v>
      </c>
      <c r="F24" t="s">
        <v>131</v>
      </c>
      <c r="G24" s="2" t="s">
        <v>116</v>
      </c>
      <c r="H24">
        <v>13760</v>
      </c>
      <c r="I24" s="8">
        <f>ROUND(Tabla4[[#This Row],[COSTO]]/0.7,0)</f>
        <v>19657</v>
      </c>
      <c r="J24" s="3">
        <f>ROUND(Tabla4[[#This Row],[P GRAN MAYOR]]/0.8,0)</f>
        <v>24571</v>
      </c>
      <c r="K24" s="3">
        <f>ROUND(Tabla4[[#This Row],[P POR MAYOR]]/(1-0.375),0)</f>
        <v>39314</v>
      </c>
      <c r="O24" t="s">
        <v>441</v>
      </c>
      <c r="P24">
        <f>Tabla4[[#This Row],[COSTO]]/34000</f>
        <v>0.40470588235294119</v>
      </c>
      <c r="Q24">
        <v>17</v>
      </c>
      <c r="R24">
        <f>P24*Q24</f>
        <v>6.88</v>
      </c>
    </row>
    <row r="25" spans="4:18" ht="17" x14ac:dyDescent="0.2">
      <c r="D25" s="1" t="s">
        <v>442</v>
      </c>
      <c r="E25" s="1" t="s">
        <v>443</v>
      </c>
      <c r="F25" t="s">
        <v>132</v>
      </c>
      <c r="G25" s="2" t="s">
        <v>653</v>
      </c>
      <c r="H25">
        <v>23400</v>
      </c>
      <c r="I25" s="8">
        <f>ROUND(Tabla4[[#This Row],[COSTO]]/0.7,0)</f>
        <v>33429</v>
      </c>
      <c r="J25" s="3">
        <f>ROUND(Tabla4[[#This Row],[P GRAN MAYOR]]/0.8,0)</f>
        <v>41786</v>
      </c>
      <c r="K25" s="3">
        <f>ROUND(Tabla4[[#This Row],[P POR MAYOR]]/(1-0.375),0)</f>
        <v>66858</v>
      </c>
    </row>
    <row r="26" spans="4:18" ht="17" x14ac:dyDescent="0.2">
      <c r="D26" s="1" t="s">
        <v>444</v>
      </c>
      <c r="E26" s="1" t="s">
        <v>445</v>
      </c>
      <c r="F26" t="s">
        <v>134</v>
      </c>
      <c r="G26" s="2" t="s">
        <v>654</v>
      </c>
      <c r="H26">
        <v>73500</v>
      </c>
      <c r="I26" s="8">
        <f>ROUND(Tabla4[[#This Row],[COSTO]]/0.7,0)</f>
        <v>105000</v>
      </c>
      <c r="J26" s="3">
        <f>ROUND(Tabla4[[#This Row],[P GRAN MAYOR]]/0.8,0)</f>
        <v>131250</v>
      </c>
      <c r="K26" s="3">
        <f>ROUND(Tabla4[[#This Row],[P POR MAYOR]]/(1-0.375),0)</f>
        <v>210000</v>
      </c>
    </row>
    <row r="27" spans="4:18" ht="17" x14ac:dyDescent="0.2">
      <c r="D27" s="1" t="s">
        <v>446</v>
      </c>
      <c r="E27" s="1" t="s">
        <v>447</v>
      </c>
      <c r="F27" t="s">
        <v>733</v>
      </c>
      <c r="G27" s="2" t="s">
        <v>655</v>
      </c>
      <c r="I27" s="8">
        <f>ROUND(Tabla4[[#This Row],[COSTO]]/0.7,0)</f>
        <v>0</v>
      </c>
      <c r="J27" s="3">
        <f>ROUND(Tabla4[[#This Row],[P GRAN MAYOR]]/0.8,0)</f>
        <v>0</v>
      </c>
      <c r="K27" s="3">
        <f>ROUND(Tabla4[[#This Row],[P POR MAYOR]]/(1-0.375),0)</f>
        <v>0</v>
      </c>
    </row>
    <row r="28" spans="4:18" ht="17" x14ac:dyDescent="0.2">
      <c r="D28" s="1" t="s">
        <v>448</v>
      </c>
      <c r="E28" s="1" t="s">
        <v>449</v>
      </c>
      <c r="F28" t="s">
        <v>134</v>
      </c>
      <c r="G28" s="2" t="s">
        <v>656</v>
      </c>
      <c r="H28">
        <v>9975</v>
      </c>
      <c r="I28" s="8">
        <f>ROUND(Tabla4[[#This Row],[COSTO]]/0.7,0)</f>
        <v>14250</v>
      </c>
      <c r="J28" s="3">
        <f>ROUND(Tabla4[[#This Row],[P GRAN MAYOR]]/0.8,0)</f>
        <v>17813</v>
      </c>
      <c r="K28" s="3">
        <f>ROUND(Tabla4[[#This Row],[P POR MAYOR]]/(1-0.375),0)</f>
        <v>28501</v>
      </c>
    </row>
    <row r="29" spans="4:18" ht="17" x14ac:dyDescent="0.2">
      <c r="D29" s="1" t="s">
        <v>450</v>
      </c>
      <c r="E29" s="1" t="s">
        <v>451</v>
      </c>
      <c r="F29" t="s">
        <v>134</v>
      </c>
      <c r="G29" s="2" t="s">
        <v>657</v>
      </c>
      <c r="H29">
        <v>12500</v>
      </c>
      <c r="I29" s="8">
        <f>ROUND(Tabla4[[#This Row],[COSTO]]/0.7,0)</f>
        <v>17857</v>
      </c>
      <c r="J29" s="3">
        <f>ROUND(Tabla4[[#This Row],[P GRAN MAYOR]]/0.8,0)</f>
        <v>22321</v>
      </c>
      <c r="K29" s="3">
        <f>ROUND(Tabla4[[#This Row],[P POR MAYOR]]/(1-0.375),0)</f>
        <v>35714</v>
      </c>
    </row>
    <row r="30" spans="4:18" ht="17" x14ac:dyDescent="0.2">
      <c r="D30" s="1" t="s">
        <v>452</v>
      </c>
      <c r="E30" s="1" t="s">
        <v>453</v>
      </c>
      <c r="F30" t="s">
        <v>134</v>
      </c>
      <c r="G30" s="2" t="s">
        <v>658</v>
      </c>
      <c r="H30">
        <v>4750</v>
      </c>
      <c r="I30" s="8">
        <f>ROUND(Tabla4[[#This Row],[COSTO]]/0.7,0)</f>
        <v>6786</v>
      </c>
      <c r="J30" s="3">
        <f>ROUND(Tabla4[[#This Row],[P GRAN MAYOR]]/0.8,0)</f>
        <v>8483</v>
      </c>
      <c r="K30" s="3">
        <f>ROUND(Tabla4[[#This Row],[P POR MAYOR]]/(1-0.375),0)</f>
        <v>13573</v>
      </c>
    </row>
    <row r="31" spans="4:18" ht="17" x14ac:dyDescent="0.2">
      <c r="D31" s="1" t="s">
        <v>454</v>
      </c>
      <c r="E31" s="1" t="s">
        <v>455</v>
      </c>
      <c r="F31" t="s">
        <v>131</v>
      </c>
      <c r="G31" s="2" t="s">
        <v>116</v>
      </c>
      <c r="H31">
        <v>16640</v>
      </c>
      <c r="I31" s="8">
        <f>ROUND(Tabla4[[#This Row],[COSTO]]/0.7,0)</f>
        <v>23771</v>
      </c>
      <c r="J31" s="3">
        <f>ROUND(Tabla4[[#This Row],[P GRAN MAYOR]]/0.8,0)</f>
        <v>29714</v>
      </c>
      <c r="K31" s="3">
        <f>ROUND(Tabla4[[#This Row],[P POR MAYOR]]/(1-0.375),0)</f>
        <v>47542</v>
      </c>
    </row>
    <row r="32" spans="4:18" ht="17" x14ac:dyDescent="0.2">
      <c r="D32" s="1" t="s">
        <v>456</v>
      </c>
      <c r="E32" s="1" t="s">
        <v>457</v>
      </c>
      <c r="F32" t="s">
        <v>131</v>
      </c>
      <c r="G32" s="2" t="s">
        <v>116</v>
      </c>
      <c r="H32">
        <v>23360</v>
      </c>
      <c r="I32" s="8">
        <f>ROUND(Tabla4[[#This Row],[COSTO]]/0.7,0)</f>
        <v>33371</v>
      </c>
      <c r="J32" s="3">
        <f>ROUND(Tabla4[[#This Row],[P GRAN MAYOR]]/0.8,0)</f>
        <v>41714</v>
      </c>
      <c r="K32" s="3">
        <f>ROUND(Tabla4[[#This Row],[P POR MAYOR]]/(1-0.375),0)</f>
        <v>66742</v>
      </c>
      <c r="O32" t="s">
        <v>457</v>
      </c>
      <c r="P32">
        <f>Tabla4[[#This Row],[COSTO]]/34000</f>
        <v>0.68705882352941172</v>
      </c>
      <c r="Q32">
        <v>11</v>
      </c>
      <c r="R32">
        <f>P32*Q32</f>
        <v>7.5576470588235285</v>
      </c>
    </row>
    <row r="33" spans="4:18" ht="17" x14ac:dyDescent="0.2">
      <c r="D33" s="1" t="s">
        <v>458</v>
      </c>
      <c r="E33" s="1" t="s">
        <v>459</v>
      </c>
      <c r="F33" t="s">
        <v>134</v>
      </c>
      <c r="G33" s="2" t="s">
        <v>659</v>
      </c>
      <c r="H33">
        <v>9310</v>
      </c>
      <c r="I33" s="8">
        <f>ROUND(Tabla4[[#This Row],[COSTO]]/0.7,0)</f>
        <v>13300</v>
      </c>
      <c r="J33" s="3">
        <f>ROUND(Tabla4[[#This Row],[P GRAN MAYOR]]/0.8,0)</f>
        <v>16625</v>
      </c>
      <c r="K33" s="3">
        <f>ROUND(Tabla4[[#This Row],[P POR MAYOR]]/(1-0.375),0)</f>
        <v>26600</v>
      </c>
    </row>
    <row r="34" spans="4:18" ht="17" x14ac:dyDescent="0.2">
      <c r="D34" s="1" t="s">
        <v>460</v>
      </c>
      <c r="E34" s="1" t="s">
        <v>461</v>
      </c>
      <c r="F34" t="s">
        <v>134</v>
      </c>
      <c r="G34" s="2" t="s">
        <v>660</v>
      </c>
      <c r="H34">
        <v>10925</v>
      </c>
      <c r="I34" s="8">
        <f>ROUND(Tabla4[[#This Row],[COSTO]]/0.7,0)</f>
        <v>15607</v>
      </c>
      <c r="J34" s="3">
        <f>ROUND(Tabla4[[#This Row],[P GRAN MAYOR]]/0.8,0)</f>
        <v>19509</v>
      </c>
      <c r="K34" s="3">
        <f>ROUND(Tabla4[[#This Row],[P POR MAYOR]]/(1-0.375),0)</f>
        <v>31214</v>
      </c>
    </row>
    <row r="35" spans="4:18" ht="17" x14ac:dyDescent="0.2">
      <c r="D35" s="1" t="s">
        <v>462</v>
      </c>
      <c r="E35" s="1" t="s">
        <v>463</v>
      </c>
      <c r="F35" t="s">
        <v>134</v>
      </c>
      <c r="G35" s="2" t="s">
        <v>661</v>
      </c>
      <c r="H35">
        <v>9025</v>
      </c>
      <c r="I35" s="8">
        <f>ROUND(Tabla4[[#This Row],[COSTO]]/0.7,0)</f>
        <v>12893</v>
      </c>
      <c r="J35" s="3">
        <f>ROUND(Tabla4[[#This Row],[P GRAN MAYOR]]/0.8,0)</f>
        <v>16116</v>
      </c>
      <c r="K35" s="3">
        <f>ROUND(Tabla4[[#This Row],[P POR MAYOR]]/(1-0.375),0)</f>
        <v>25786</v>
      </c>
    </row>
    <row r="36" spans="4:18" x14ac:dyDescent="0.2">
      <c r="D36" s="1" t="s">
        <v>464</v>
      </c>
      <c r="E36" s="1" t="s">
        <v>465</v>
      </c>
      <c r="F36" t="s">
        <v>134</v>
      </c>
      <c r="G36" s="1" t="s">
        <v>662</v>
      </c>
      <c r="H36">
        <v>7125</v>
      </c>
      <c r="I36" s="8">
        <f>ROUND(Tabla4[[#This Row],[COSTO]]/0.7,0)</f>
        <v>10179</v>
      </c>
      <c r="J36" s="3">
        <f>ROUND(Tabla4[[#This Row],[P GRAN MAYOR]]/0.8,0)</f>
        <v>12724</v>
      </c>
      <c r="K36" s="3">
        <f>ROUND(Tabla4[[#This Row],[P POR MAYOR]]/(1-0.375),0)</f>
        <v>20358</v>
      </c>
    </row>
    <row r="37" spans="4:18" ht="17" x14ac:dyDescent="0.2">
      <c r="D37" s="1" t="s">
        <v>466</v>
      </c>
      <c r="E37" s="1" t="s">
        <v>467</v>
      </c>
      <c r="F37" t="s">
        <v>132</v>
      </c>
      <c r="G37" s="2" t="s">
        <v>663</v>
      </c>
      <c r="I37" s="8">
        <f>ROUND(Tabla4[[#This Row],[COSTO]]/0.7,0)</f>
        <v>0</v>
      </c>
      <c r="J37" s="3">
        <f>ROUND(Tabla4[[#This Row],[P GRAN MAYOR]]/0.8,0)</f>
        <v>0</v>
      </c>
      <c r="K37" s="3">
        <f>ROUND(Tabla4[[#This Row],[P POR MAYOR]]/(1-0.375),0)</f>
        <v>0</v>
      </c>
    </row>
    <row r="38" spans="4:18" ht="17" x14ac:dyDescent="0.2">
      <c r="D38" s="1" t="s">
        <v>468</v>
      </c>
      <c r="E38" s="1" t="s">
        <v>469</v>
      </c>
      <c r="F38" t="s">
        <v>134</v>
      </c>
      <c r="G38" s="2" t="s">
        <v>664</v>
      </c>
      <c r="H38">
        <v>8075</v>
      </c>
      <c r="I38" s="8">
        <f>ROUND(Tabla4[[#This Row],[COSTO]]/0.7,0)</f>
        <v>11536</v>
      </c>
      <c r="J38" s="3">
        <f>ROUND(Tabla4[[#This Row],[P GRAN MAYOR]]/0.8,0)</f>
        <v>14420</v>
      </c>
      <c r="K38" s="3">
        <f>ROUND(Tabla4[[#This Row],[P POR MAYOR]]/(1-0.375),0)</f>
        <v>23072</v>
      </c>
    </row>
    <row r="39" spans="4:18" ht="17" x14ac:dyDescent="0.2">
      <c r="D39" s="1" t="s">
        <v>470</v>
      </c>
      <c r="E39" s="1" t="s">
        <v>471</v>
      </c>
      <c r="F39" t="s">
        <v>132</v>
      </c>
      <c r="G39" s="2" t="s">
        <v>665</v>
      </c>
      <c r="H39">
        <v>9900</v>
      </c>
      <c r="I39" s="8">
        <f>ROUND(Tabla4[[#This Row],[COSTO]]/0.7,0)</f>
        <v>14143</v>
      </c>
      <c r="J39" s="3">
        <f>ROUND(Tabla4[[#This Row],[P GRAN MAYOR]]/0.8,0)</f>
        <v>17679</v>
      </c>
      <c r="K39" s="3">
        <f>ROUND(Tabla4[[#This Row],[P POR MAYOR]]/(1-0.375),0)</f>
        <v>28286</v>
      </c>
    </row>
    <row r="40" spans="4:18" ht="17" x14ac:dyDescent="0.2">
      <c r="D40" s="1" t="s">
        <v>472</v>
      </c>
      <c r="E40" s="1" t="s">
        <v>473</v>
      </c>
      <c r="F40" t="s">
        <v>132</v>
      </c>
      <c r="G40" s="2" t="s">
        <v>666</v>
      </c>
      <c r="H40">
        <v>162000</v>
      </c>
      <c r="I40" s="8">
        <f>ROUND(Tabla4[[#This Row],[COSTO]]/0.7,0)</f>
        <v>231429</v>
      </c>
      <c r="J40" s="3">
        <f>ROUND(Tabla4[[#This Row],[P GRAN MAYOR]]/0.8,0)</f>
        <v>289286</v>
      </c>
      <c r="K40" s="3">
        <f>ROUND(Tabla4[[#This Row],[P POR MAYOR]]/(1-0.375),0)</f>
        <v>462858</v>
      </c>
    </row>
    <row r="41" spans="4:18" ht="17" x14ac:dyDescent="0.2">
      <c r="D41" s="1" t="s">
        <v>474</v>
      </c>
      <c r="E41" s="1" t="s">
        <v>475</v>
      </c>
      <c r="F41" t="s">
        <v>131</v>
      </c>
      <c r="G41" s="2" t="s">
        <v>116</v>
      </c>
      <c r="H41">
        <v>9280</v>
      </c>
      <c r="I41" s="8">
        <f>ROUND(Tabla4[[#This Row],[COSTO]]/0.7,0)</f>
        <v>13257</v>
      </c>
      <c r="J41" s="3">
        <f>ROUND(Tabla4[[#This Row],[P GRAN MAYOR]]/0.8,0)</f>
        <v>16571</v>
      </c>
      <c r="K41" s="3">
        <f>ROUND(Tabla4[[#This Row],[P POR MAYOR]]/(1-0.375),0)</f>
        <v>26514</v>
      </c>
      <c r="O41" t="s">
        <v>475</v>
      </c>
      <c r="P41">
        <f>Tabla4[[#This Row],[COSTO]]/34000</f>
        <v>0.27294117647058824</v>
      </c>
      <c r="Q41">
        <v>27</v>
      </c>
      <c r="R41">
        <f>P41*Q41</f>
        <v>7.3694117647058821</v>
      </c>
    </row>
    <row r="42" spans="4:18" ht="17" x14ac:dyDescent="0.2">
      <c r="D42" s="1" t="s">
        <v>476</v>
      </c>
      <c r="E42" s="1" t="s">
        <v>477</v>
      </c>
      <c r="F42" t="s">
        <v>131</v>
      </c>
      <c r="G42" s="2" t="s">
        <v>116</v>
      </c>
      <c r="H42">
        <f>0.57*34000</f>
        <v>19380</v>
      </c>
      <c r="I42" s="8">
        <f>ROUND(Tabla4[[#This Row],[COSTO]]/0.7,0)</f>
        <v>27686</v>
      </c>
      <c r="J42" s="3">
        <f>ROUND(Tabla4[[#This Row],[P GRAN MAYOR]]/0.8,0)</f>
        <v>34608</v>
      </c>
      <c r="K42" s="3">
        <f>ROUND(Tabla4[[#This Row],[P POR MAYOR]]/(1-0.375),0)</f>
        <v>55373</v>
      </c>
      <c r="O42" t="s">
        <v>477</v>
      </c>
      <c r="P42">
        <v>0.56999999999999995</v>
      </c>
      <c r="Q42">
        <v>13</v>
      </c>
      <c r="R42">
        <f>P42*Q42</f>
        <v>7.4099999999999993</v>
      </c>
    </row>
    <row r="43" spans="4:18" ht="17" x14ac:dyDescent="0.2">
      <c r="D43" s="1" t="s">
        <v>478</v>
      </c>
      <c r="E43" s="1" t="s">
        <v>479</v>
      </c>
      <c r="F43" t="s">
        <v>134</v>
      </c>
      <c r="G43" s="2" t="s">
        <v>667</v>
      </c>
      <c r="H43">
        <v>21660</v>
      </c>
      <c r="I43" s="8">
        <f>ROUND(Tabla4[[#This Row],[COSTO]]/0.7,0)</f>
        <v>30943</v>
      </c>
      <c r="J43" s="3">
        <f>ROUND(Tabla4[[#This Row],[P GRAN MAYOR]]/0.8,0)</f>
        <v>38679</v>
      </c>
      <c r="K43" s="3">
        <f>ROUND(Tabla4[[#This Row],[P POR MAYOR]]/(1-0.375),0)</f>
        <v>61886</v>
      </c>
    </row>
    <row r="44" spans="4:18" ht="17" x14ac:dyDescent="0.2">
      <c r="D44" s="1" t="s">
        <v>480</v>
      </c>
      <c r="E44" s="1" t="s">
        <v>481</v>
      </c>
      <c r="F44" t="s">
        <v>131</v>
      </c>
      <c r="G44" s="2" t="s">
        <v>116</v>
      </c>
      <c r="H44">
        <v>13760</v>
      </c>
      <c r="I44" s="8">
        <f>ROUND(Tabla4[[#This Row],[COSTO]]/0.7,0)</f>
        <v>19657</v>
      </c>
      <c r="J44" s="3">
        <f>ROUND(Tabla4[[#This Row],[P GRAN MAYOR]]/0.8,0)</f>
        <v>24571</v>
      </c>
      <c r="K44" s="3">
        <f>ROUND(Tabla4[[#This Row],[P POR MAYOR]]/(1-0.375),0)</f>
        <v>39314</v>
      </c>
      <c r="O44" t="s">
        <v>481</v>
      </c>
      <c r="P44">
        <f>Tabla4[[#This Row],[COSTO]]/34000</f>
        <v>0.40470588235294119</v>
      </c>
      <c r="Q44">
        <v>17</v>
      </c>
      <c r="R44">
        <f>P44*Q44</f>
        <v>6.88</v>
      </c>
    </row>
    <row r="45" spans="4:18" ht="17" x14ac:dyDescent="0.2">
      <c r="D45" s="1" t="s">
        <v>482</v>
      </c>
      <c r="E45" s="1" t="s">
        <v>483</v>
      </c>
      <c r="F45" t="s">
        <v>131</v>
      </c>
      <c r="G45" s="2" t="s">
        <v>116</v>
      </c>
      <c r="H45">
        <f>0.45*34000</f>
        <v>15300</v>
      </c>
      <c r="I45" s="8">
        <f>ROUND(Tabla4[[#This Row],[COSTO]]/0.7,0)</f>
        <v>21857</v>
      </c>
      <c r="J45" s="3">
        <f>ROUND(Tabla4[[#This Row],[P GRAN MAYOR]]/0.8,0)</f>
        <v>27321</v>
      </c>
      <c r="K45" s="3">
        <f>ROUND(Tabla4[[#This Row],[P POR MAYOR]]/(1-0.375),0)</f>
        <v>43714</v>
      </c>
      <c r="O45" t="s">
        <v>483</v>
      </c>
      <c r="P45">
        <f>Tabla4[[#This Row],[COSTO]]/34000</f>
        <v>0.45</v>
      </c>
      <c r="Q45">
        <v>12</v>
      </c>
      <c r="R45">
        <f>P45*Q45</f>
        <v>5.4</v>
      </c>
    </row>
    <row r="46" spans="4:18" ht="17" x14ac:dyDescent="0.2">
      <c r="D46" s="1" t="s">
        <v>484</v>
      </c>
      <c r="E46" s="1" t="s">
        <v>485</v>
      </c>
      <c r="F46" t="s">
        <v>131</v>
      </c>
      <c r="G46" s="2" t="s">
        <v>116</v>
      </c>
      <c r="H46">
        <v>39360</v>
      </c>
      <c r="I46" s="8">
        <f>ROUND(Tabla4[[#This Row],[COSTO]]/0.7,0)</f>
        <v>56229</v>
      </c>
      <c r="J46" s="3">
        <f>ROUND(Tabla4[[#This Row],[P GRAN MAYOR]]/0.8,0)</f>
        <v>70286</v>
      </c>
      <c r="K46" s="3">
        <f>ROUND(Tabla4[[#This Row],[P POR MAYOR]]/(1-0.375),0)</f>
        <v>112458</v>
      </c>
      <c r="O46" t="s">
        <v>485</v>
      </c>
      <c r="P46">
        <f>Tabla4[[#This Row],[COSTO]]/34000</f>
        <v>1.1576470588235295</v>
      </c>
      <c r="Q46">
        <v>28</v>
      </c>
      <c r="R46">
        <f>P46*Q46</f>
        <v>32.414117647058823</v>
      </c>
    </row>
    <row r="47" spans="4:18" ht="17" x14ac:dyDescent="0.2">
      <c r="D47" s="1" t="s">
        <v>486</v>
      </c>
      <c r="E47" s="1" t="s">
        <v>487</v>
      </c>
      <c r="F47" t="s">
        <v>131</v>
      </c>
      <c r="G47" s="2" t="s">
        <v>116</v>
      </c>
      <c r="H47">
        <v>6080</v>
      </c>
      <c r="I47" s="8">
        <f>ROUND(Tabla4[[#This Row],[COSTO]]/0.7,0)</f>
        <v>8686</v>
      </c>
      <c r="J47" s="3">
        <f>ROUND(Tabla4[[#This Row],[P GRAN MAYOR]]/0.8,0)</f>
        <v>10858</v>
      </c>
      <c r="K47" s="3">
        <f>ROUND(Tabla4[[#This Row],[P POR MAYOR]]/(1-0.375),0)</f>
        <v>17373</v>
      </c>
      <c r="O47" t="s">
        <v>487</v>
      </c>
      <c r="P47">
        <f>Tabla4[[#This Row],[COSTO]]/34000</f>
        <v>0.17882352941176471</v>
      </c>
      <c r="Q47">
        <v>8</v>
      </c>
      <c r="R47">
        <f>P47*Q47</f>
        <v>1.4305882352941177</v>
      </c>
    </row>
    <row r="48" spans="4:18" ht="17" x14ac:dyDescent="0.2">
      <c r="D48" s="1" t="s">
        <v>488</v>
      </c>
      <c r="E48" s="1" t="s">
        <v>489</v>
      </c>
      <c r="F48" t="s">
        <v>134</v>
      </c>
      <c r="G48" s="2" t="s">
        <v>116</v>
      </c>
      <c r="I48" s="8">
        <f>ROUND(Tabla4[[#This Row],[COSTO]]/0.7,0)</f>
        <v>0</v>
      </c>
      <c r="J48" s="3">
        <f>ROUND(Tabla4[[#This Row],[P GRAN MAYOR]]/0.8,0)</f>
        <v>0</v>
      </c>
      <c r="K48" s="3">
        <f>ROUND(Tabla4[[#This Row],[P POR MAYOR]]/(1-0.375),0)</f>
        <v>0</v>
      </c>
    </row>
    <row r="49" spans="4:18" ht="17" x14ac:dyDescent="0.2">
      <c r="D49" s="1" t="s">
        <v>490</v>
      </c>
      <c r="E49" s="1" t="s">
        <v>491</v>
      </c>
      <c r="F49" t="s">
        <v>131</v>
      </c>
      <c r="G49" s="2" t="s">
        <v>116</v>
      </c>
      <c r="H49">
        <v>23360</v>
      </c>
      <c r="I49" s="8">
        <f>ROUND(Tabla4[[#This Row],[COSTO]]/0.7,0)</f>
        <v>33371</v>
      </c>
      <c r="J49" s="3">
        <f>ROUND(Tabla4[[#This Row],[P GRAN MAYOR]]/0.8,0)</f>
        <v>41714</v>
      </c>
      <c r="K49" s="3">
        <f>ROUND(Tabla4[[#This Row],[P POR MAYOR]]/(1-0.375),0)</f>
        <v>66742</v>
      </c>
      <c r="O49" t="s">
        <v>491</v>
      </c>
      <c r="P49">
        <f>Tabla4[[#This Row],[COSTO]]/34000</f>
        <v>0.68705882352941172</v>
      </c>
      <c r="Q49">
        <v>26</v>
      </c>
      <c r="R49">
        <f>P49*Q49</f>
        <v>17.863529411764706</v>
      </c>
    </row>
    <row r="50" spans="4:18" ht="17" x14ac:dyDescent="0.2">
      <c r="D50" s="1" t="s">
        <v>492</v>
      </c>
      <c r="E50" s="1" t="s">
        <v>493</v>
      </c>
      <c r="F50" t="s">
        <v>132</v>
      </c>
      <c r="G50" s="2" t="s">
        <v>116</v>
      </c>
      <c r="I50" s="8">
        <f>ROUND(Tabla4[[#This Row],[COSTO]]/0.7,0)</f>
        <v>0</v>
      </c>
      <c r="J50" s="3">
        <f>ROUND(Tabla4[[#This Row],[P GRAN MAYOR]]/0.8,0)</f>
        <v>0</v>
      </c>
      <c r="K50" s="3">
        <f>ROUND(Tabla4[[#This Row],[P POR MAYOR]]/(1-0.375),0)</f>
        <v>0</v>
      </c>
    </row>
    <row r="51" spans="4:18" ht="17" x14ac:dyDescent="0.2">
      <c r="D51" s="1" t="s">
        <v>494</v>
      </c>
      <c r="E51" s="1" t="s">
        <v>495</v>
      </c>
      <c r="F51" t="s">
        <v>131</v>
      </c>
      <c r="G51" s="2" t="s">
        <v>116</v>
      </c>
      <c r="H51">
        <v>82560</v>
      </c>
      <c r="I51" s="8">
        <f>ROUND(Tabla4[[#This Row],[COSTO]]/0.7,0)</f>
        <v>117943</v>
      </c>
      <c r="J51" s="3">
        <f>ROUND(Tabla4[[#This Row],[P GRAN MAYOR]]/0.8,0)</f>
        <v>147429</v>
      </c>
      <c r="K51" s="3">
        <f>ROUND(Tabla4[[#This Row],[P POR MAYOR]]/(1-0.375),0)</f>
        <v>235886</v>
      </c>
    </row>
    <row r="52" spans="4:18" ht="17" x14ac:dyDescent="0.2">
      <c r="D52" s="1" t="s">
        <v>496</v>
      </c>
      <c r="E52" s="1" t="s">
        <v>497</v>
      </c>
      <c r="F52" t="s">
        <v>132</v>
      </c>
      <c r="G52" s="2" t="s">
        <v>116</v>
      </c>
      <c r="I52" s="8">
        <f>ROUND(Tabla4[[#This Row],[COSTO]]/0.7,0)</f>
        <v>0</v>
      </c>
      <c r="J52" s="3">
        <f>ROUND(Tabla4[[#This Row],[P GRAN MAYOR]]/0.8,0)</f>
        <v>0</v>
      </c>
      <c r="K52" s="3">
        <f>ROUND(Tabla4[[#This Row],[P POR MAYOR]]/(1-0.375),0)</f>
        <v>0</v>
      </c>
    </row>
    <row r="53" spans="4:18" ht="17" x14ac:dyDescent="0.2">
      <c r="D53" s="1" t="s">
        <v>498</v>
      </c>
      <c r="E53" s="1" t="s">
        <v>499</v>
      </c>
      <c r="F53" t="s">
        <v>132</v>
      </c>
      <c r="G53" s="2" t="s">
        <v>116</v>
      </c>
      <c r="I53" s="8">
        <f>ROUND(Tabla4[[#This Row],[COSTO]]/0.7,0)</f>
        <v>0</v>
      </c>
      <c r="J53" s="3">
        <f>ROUND(Tabla4[[#This Row],[P GRAN MAYOR]]/0.8,0)</f>
        <v>0</v>
      </c>
      <c r="K53" s="3">
        <f>ROUND(Tabla4[[#This Row],[P POR MAYOR]]/(1-0.375),0)</f>
        <v>0</v>
      </c>
    </row>
    <row r="54" spans="4:18" ht="17" x14ac:dyDescent="0.2">
      <c r="D54" s="1" t="s">
        <v>1688</v>
      </c>
      <c r="E54" s="1" t="s">
        <v>1689</v>
      </c>
      <c r="F54" t="s">
        <v>134</v>
      </c>
      <c r="G54" s="2" t="s">
        <v>702</v>
      </c>
      <c r="H54">
        <v>99750</v>
      </c>
      <c r="I54" s="8">
        <f>ROUND(Tabla4[[#This Row],[COSTO]]/0.7,0)</f>
        <v>142500</v>
      </c>
      <c r="J54" s="3">
        <f>ROUND(Tabla4[[#This Row],[P GRAN MAYOR]]/0.8,0)</f>
        <v>178125</v>
      </c>
      <c r="K54" s="3">
        <f>ROUND(Tabla4[[#This Row],[P POR MAYOR]]/(1-0.375),0)</f>
        <v>285000</v>
      </c>
    </row>
    <row r="55" spans="4:18" ht="30" x14ac:dyDescent="0.2">
      <c r="D55" s="1" t="s">
        <v>500</v>
      </c>
      <c r="E55" s="1" t="s">
        <v>501</v>
      </c>
      <c r="F55" t="s">
        <v>134</v>
      </c>
      <c r="G55" s="2" t="s">
        <v>703</v>
      </c>
      <c r="H55">
        <v>52060</v>
      </c>
      <c r="I55" s="8">
        <f>ROUND(Tabla4[[#This Row],[COSTO]]/0.7,0)</f>
        <v>74371</v>
      </c>
      <c r="J55" s="3">
        <f>ROUND(Tabla4[[#This Row],[P GRAN MAYOR]]/0.8,0)</f>
        <v>92964</v>
      </c>
      <c r="K55" s="3">
        <f>ROUND(Tabla4[[#This Row],[P POR MAYOR]]/(1-0.375),0)</f>
        <v>148742</v>
      </c>
    </row>
    <row r="56" spans="4:18" ht="17" x14ac:dyDescent="0.2">
      <c r="D56" s="1" t="s">
        <v>502</v>
      </c>
      <c r="E56" s="1" t="s">
        <v>503</v>
      </c>
      <c r="F56" t="s">
        <v>134</v>
      </c>
      <c r="G56" s="2" t="s">
        <v>704</v>
      </c>
      <c r="H56">
        <v>81225</v>
      </c>
      <c r="I56" s="8">
        <f>ROUND(Tabla4[[#This Row],[COSTO]]/0.7,0)</f>
        <v>116036</v>
      </c>
      <c r="J56" s="3">
        <f>ROUND(Tabla4[[#This Row],[P GRAN MAYOR]]/0.8,0)</f>
        <v>145045</v>
      </c>
      <c r="K56" s="3">
        <f>ROUND(Tabla4[[#This Row],[P POR MAYOR]]/(1-0.375),0)</f>
        <v>232072</v>
      </c>
    </row>
    <row r="57" spans="4:18" x14ac:dyDescent="0.2">
      <c r="D57" s="1" t="s">
        <v>504</v>
      </c>
      <c r="E57" s="1" t="s">
        <v>505</v>
      </c>
      <c r="F57" t="s">
        <v>134</v>
      </c>
      <c r="G57" s="1" t="s">
        <v>705</v>
      </c>
      <c r="H57">
        <v>39425</v>
      </c>
      <c r="I57" s="8">
        <f>ROUND(Tabla4[[#This Row],[COSTO]]/0.7,0)</f>
        <v>56321</v>
      </c>
      <c r="J57" s="3">
        <f>ROUND(Tabla4[[#This Row],[P GRAN MAYOR]]/0.8,0)</f>
        <v>70401</v>
      </c>
      <c r="K57" s="3">
        <f>ROUND(Tabla4[[#This Row],[P POR MAYOR]]/(1-0.375),0)</f>
        <v>112642</v>
      </c>
    </row>
    <row r="58" spans="4:18" ht="17" x14ac:dyDescent="0.2">
      <c r="D58" s="1" t="s">
        <v>506</v>
      </c>
      <c r="E58" s="1" t="s">
        <v>507</v>
      </c>
      <c r="F58" t="s">
        <v>134</v>
      </c>
      <c r="G58" s="2" t="s">
        <v>706</v>
      </c>
      <c r="H58">
        <v>22610</v>
      </c>
      <c r="I58" s="8">
        <f>ROUND(Tabla4[[#This Row],[COSTO]]/0.7,0)</f>
        <v>32300</v>
      </c>
      <c r="J58" s="3">
        <f>ROUND(Tabla4[[#This Row],[P GRAN MAYOR]]/0.8,0)</f>
        <v>40375</v>
      </c>
      <c r="K58" s="3">
        <f>ROUND(Tabla4[[#This Row],[P POR MAYOR]]/(1-0.375),0)</f>
        <v>64600</v>
      </c>
    </row>
    <row r="59" spans="4:18" ht="17" x14ac:dyDescent="0.2">
      <c r="D59" s="1" t="s">
        <v>508</v>
      </c>
      <c r="E59" s="1" t="s">
        <v>509</v>
      </c>
      <c r="F59" t="s">
        <v>134</v>
      </c>
      <c r="G59" s="2" t="s">
        <v>707</v>
      </c>
      <c r="H59">
        <v>23560</v>
      </c>
      <c r="I59" s="8">
        <f>ROUND(Tabla4[[#This Row],[COSTO]]/0.7,0)</f>
        <v>33657</v>
      </c>
      <c r="J59" s="3">
        <f>ROUND(Tabla4[[#This Row],[P GRAN MAYOR]]/0.8,0)</f>
        <v>42071</v>
      </c>
      <c r="K59" s="3">
        <f>ROUND(Tabla4[[#This Row],[P POR MAYOR]]/(1-0.375),0)</f>
        <v>67314</v>
      </c>
    </row>
    <row r="60" spans="4:18" ht="17" x14ac:dyDescent="0.2">
      <c r="D60" s="1" t="s">
        <v>510</v>
      </c>
      <c r="E60" s="1" t="s">
        <v>511</v>
      </c>
      <c r="F60" t="s">
        <v>134</v>
      </c>
      <c r="G60" s="2" t="s">
        <v>708</v>
      </c>
      <c r="H60">
        <v>7125</v>
      </c>
      <c r="I60" s="8">
        <f>ROUND(Tabla4[[#This Row],[COSTO]]/0.7,0)</f>
        <v>10179</v>
      </c>
      <c r="J60" s="3">
        <f>ROUND(Tabla4[[#This Row],[P GRAN MAYOR]]/0.8,0)</f>
        <v>12724</v>
      </c>
      <c r="K60" s="3">
        <f>ROUND(Tabla4[[#This Row],[P POR MAYOR]]/(1-0.375),0)</f>
        <v>20358</v>
      </c>
    </row>
    <row r="61" spans="4:18" x14ac:dyDescent="0.2">
      <c r="D61" s="1" t="s">
        <v>512</v>
      </c>
      <c r="E61" s="1" t="s">
        <v>513</v>
      </c>
      <c r="F61" t="s">
        <v>134</v>
      </c>
      <c r="G61" s="1" t="s">
        <v>709</v>
      </c>
      <c r="H61">
        <v>28025</v>
      </c>
      <c r="I61" s="8">
        <f>ROUND(Tabla4[[#This Row],[COSTO]]/0.7,0)</f>
        <v>40036</v>
      </c>
      <c r="J61" s="3">
        <f>ROUND(Tabla4[[#This Row],[P GRAN MAYOR]]/0.8,0)</f>
        <v>50045</v>
      </c>
      <c r="K61" s="3">
        <f>ROUND(Tabla4[[#This Row],[P POR MAYOR]]/(1-0.375),0)</f>
        <v>80072</v>
      </c>
    </row>
    <row r="62" spans="4:18" ht="17" x14ac:dyDescent="0.2">
      <c r="D62" s="1" t="s">
        <v>514</v>
      </c>
      <c r="E62" s="1" t="s">
        <v>515</v>
      </c>
      <c r="F62" t="s">
        <v>134</v>
      </c>
      <c r="G62" s="2" t="s">
        <v>710</v>
      </c>
      <c r="H62">
        <v>15960</v>
      </c>
      <c r="I62" s="8">
        <f>ROUND(Tabla4[[#This Row],[COSTO]]/0.7,0)</f>
        <v>22800</v>
      </c>
      <c r="J62" s="3">
        <f>ROUND(Tabla4[[#This Row],[P GRAN MAYOR]]/0.8,0)</f>
        <v>28500</v>
      </c>
      <c r="K62" s="3">
        <f>ROUND(Tabla4[[#This Row],[P POR MAYOR]]/(1-0.375),0)</f>
        <v>45600</v>
      </c>
    </row>
    <row r="63" spans="4:18" x14ac:dyDescent="0.2">
      <c r="D63" s="1" t="s">
        <v>516</v>
      </c>
      <c r="E63" s="1" t="s">
        <v>517</v>
      </c>
      <c r="F63" t="s">
        <v>134</v>
      </c>
      <c r="G63" s="1" t="s">
        <v>711</v>
      </c>
      <c r="H63">
        <v>56810</v>
      </c>
      <c r="I63" s="8">
        <f>ROUND(Tabla4[[#This Row],[COSTO]]/0.7,0)</f>
        <v>81157</v>
      </c>
      <c r="J63" s="3">
        <f>ROUND(Tabla4[[#This Row],[P GRAN MAYOR]]/0.8,0)</f>
        <v>101446</v>
      </c>
      <c r="K63" s="3">
        <f>ROUND(Tabla4[[#This Row],[P POR MAYOR]]/(1-0.375),0)</f>
        <v>162314</v>
      </c>
    </row>
    <row r="64" spans="4:18" ht="17" x14ac:dyDescent="0.2">
      <c r="D64" s="1" t="s">
        <v>518</v>
      </c>
      <c r="E64" s="1" t="s">
        <v>519</v>
      </c>
      <c r="F64" t="s">
        <v>134</v>
      </c>
      <c r="G64" s="2" t="s">
        <v>712</v>
      </c>
      <c r="H64">
        <v>23275</v>
      </c>
      <c r="I64" s="8">
        <f>ROUND(Tabla4[[#This Row],[COSTO]]/0.7,0)</f>
        <v>33250</v>
      </c>
      <c r="J64" s="3">
        <f>ROUND(Tabla4[[#This Row],[P GRAN MAYOR]]/0.8,0)</f>
        <v>41563</v>
      </c>
      <c r="K64" s="3">
        <f>ROUND(Tabla4[[#This Row],[P POR MAYOR]]/(1-0.375),0)</f>
        <v>66501</v>
      </c>
    </row>
    <row r="65" spans="4:11" ht="17" x14ac:dyDescent="0.2">
      <c r="D65" s="1" t="s">
        <v>520</v>
      </c>
      <c r="E65" s="1" t="s">
        <v>521</v>
      </c>
      <c r="F65" t="s">
        <v>132</v>
      </c>
      <c r="G65" s="2" t="s">
        <v>668</v>
      </c>
      <c r="H65">
        <v>20700</v>
      </c>
      <c r="I65" s="8">
        <f>ROUND(Tabla4[[#This Row],[COSTO]]/0.7,0)</f>
        <v>29571</v>
      </c>
      <c r="J65" s="3">
        <f>ROUND(Tabla4[[#This Row],[P GRAN MAYOR]]/0.8,0)</f>
        <v>36964</v>
      </c>
      <c r="K65" s="3">
        <f>ROUND(Tabla4[[#This Row],[P POR MAYOR]]/(1-0.375),0)</f>
        <v>59142</v>
      </c>
    </row>
    <row r="66" spans="4:11" x14ac:dyDescent="0.2">
      <c r="D66" s="1" t="s">
        <v>522</v>
      </c>
      <c r="E66" s="1" t="s">
        <v>523</v>
      </c>
      <c r="F66" t="s">
        <v>132</v>
      </c>
      <c r="G66" s="1" t="s">
        <v>669</v>
      </c>
      <c r="H66">
        <v>29700</v>
      </c>
      <c r="I66" s="8">
        <f>ROUND(Tabla4[[#This Row],[COSTO]]/0.7,0)</f>
        <v>42429</v>
      </c>
      <c r="J66" s="3">
        <f>ROUND(Tabla4[[#This Row],[P GRAN MAYOR]]/0.8,0)</f>
        <v>53036</v>
      </c>
      <c r="K66" s="3">
        <f>ROUND(Tabla4[[#This Row],[P POR MAYOR]]/(1-0.375),0)</f>
        <v>84858</v>
      </c>
    </row>
    <row r="67" spans="4:11" ht="17" x14ac:dyDescent="0.2">
      <c r="D67" s="1" t="s">
        <v>524</v>
      </c>
      <c r="E67" s="1" t="s">
        <v>525</v>
      </c>
      <c r="F67" t="s">
        <v>132</v>
      </c>
      <c r="G67" s="2" t="s">
        <v>670</v>
      </c>
      <c r="H67">
        <v>17640</v>
      </c>
      <c r="I67" s="8">
        <f>ROUND(Tabla4[[#This Row],[COSTO]]/0.7,0)</f>
        <v>25200</v>
      </c>
      <c r="J67" s="3">
        <f>ROUND(Tabla4[[#This Row],[P GRAN MAYOR]]/0.8,0)</f>
        <v>31500</v>
      </c>
      <c r="K67" s="3">
        <f>ROUND(Tabla4[[#This Row],[P POR MAYOR]]/(1-0.375),0)</f>
        <v>50400</v>
      </c>
    </row>
    <row r="68" spans="4:11" ht="17" x14ac:dyDescent="0.2">
      <c r="D68" s="1" t="s">
        <v>526</v>
      </c>
      <c r="E68" s="1" t="s">
        <v>527</v>
      </c>
      <c r="F68" t="s">
        <v>132</v>
      </c>
      <c r="G68" s="2" t="s">
        <v>671</v>
      </c>
      <c r="H68">
        <v>10800</v>
      </c>
      <c r="I68" s="8">
        <f>ROUND(Tabla4[[#This Row],[COSTO]]/0.7,0)</f>
        <v>15429</v>
      </c>
      <c r="J68" s="3">
        <f>ROUND(Tabla4[[#This Row],[P GRAN MAYOR]]/0.8,0)</f>
        <v>19286</v>
      </c>
      <c r="K68" s="3">
        <f>ROUND(Tabla4[[#This Row],[P POR MAYOR]]/(1-0.375),0)</f>
        <v>30858</v>
      </c>
    </row>
    <row r="69" spans="4:11" ht="17" x14ac:dyDescent="0.2">
      <c r="D69" s="1" t="s">
        <v>528</v>
      </c>
      <c r="E69" s="1" t="s">
        <v>529</v>
      </c>
      <c r="F69" t="s">
        <v>132</v>
      </c>
      <c r="G69" s="2" t="s">
        <v>1550</v>
      </c>
      <c r="H69">
        <f>14000*0.85</f>
        <v>11900</v>
      </c>
      <c r="I69" s="8">
        <f>ROUND(Tabla4[[#This Row],[COSTO]]/0.7,0)</f>
        <v>17000</v>
      </c>
      <c r="J69" s="3">
        <f>ROUND(Tabla4[[#This Row],[P GRAN MAYOR]]/0.8,0)</f>
        <v>21250</v>
      </c>
      <c r="K69" s="3">
        <f>ROUND(Tabla4[[#This Row],[P POR MAYOR]]/(1-0.375),0)</f>
        <v>34000</v>
      </c>
    </row>
    <row r="70" spans="4:11" ht="17" x14ac:dyDescent="0.2">
      <c r="D70" s="1" t="s">
        <v>530</v>
      </c>
      <c r="E70" s="1" t="s">
        <v>531</v>
      </c>
      <c r="F70" t="s">
        <v>132</v>
      </c>
      <c r="G70" s="2" t="s">
        <v>672</v>
      </c>
      <c r="H70">
        <v>34200</v>
      </c>
      <c r="I70" s="8">
        <f>ROUND(Tabla4[[#This Row],[COSTO]]/0.7,0)</f>
        <v>48857</v>
      </c>
      <c r="J70" s="3">
        <f>ROUND(Tabla4[[#This Row],[P GRAN MAYOR]]/0.8,0)</f>
        <v>61071</v>
      </c>
      <c r="K70" s="3">
        <f>ROUND(Tabla4[[#This Row],[P POR MAYOR]]/(1-0.375),0)</f>
        <v>97714</v>
      </c>
    </row>
    <row r="71" spans="4:11" ht="17" x14ac:dyDescent="0.2">
      <c r="D71" s="1" t="s">
        <v>532</v>
      </c>
      <c r="E71" s="1" t="s">
        <v>533</v>
      </c>
      <c r="F71" t="s">
        <v>132</v>
      </c>
      <c r="G71" s="2" t="s">
        <v>673</v>
      </c>
      <c r="H71">
        <v>8100</v>
      </c>
      <c r="I71" s="8">
        <f>ROUND(Tabla4[[#This Row],[COSTO]]/0.7,0)</f>
        <v>11571</v>
      </c>
      <c r="J71" s="3">
        <f>ROUND(Tabla4[[#This Row],[P GRAN MAYOR]]/0.8,0)</f>
        <v>14464</v>
      </c>
      <c r="K71" s="3">
        <f>ROUND(Tabla4[[#This Row],[P POR MAYOR]]/(1-0.375),0)</f>
        <v>23142</v>
      </c>
    </row>
    <row r="72" spans="4:11" ht="17" x14ac:dyDescent="0.2">
      <c r="D72" s="1" t="s">
        <v>534</v>
      </c>
      <c r="E72" s="1" t="s">
        <v>535</v>
      </c>
      <c r="F72" t="s">
        <v>732</v>
      </c>
      <c r="G72" s="2" t="s">
        <v>674</v>
      </c>
      <c r="H72">
        <v>26000</v>
      </c>
      <c r="I72" s="8">
        <f>ROUND(Tabla4[[#This Row],[COSTO]]/0.7,0)</f>
        <v>37143</v>
      </c>
      <c r="J72" s="3">
        <f>ROUND(Tabla4[[#This Row],[P GRAN MAYOR]]/0.8,0)</f>
        <v>46429</v>
      </c>
      <c r="K72" s="3">
        <f>ROUND(Tabla4[[#This Row],[P POR MAYOR]]/(1-0.375),0)</f>
        <v>74286</v>
      </c>
    </row>
    <row r="73" spans="4:11" ht="17" x14ac:dyDescent="0.2">
      <c r="D73" s="1" t="s">
        <v>536</v>
      </c>
      <c r="E73" s="1" t="s">
        <v>537</v>
      </c>
      <c r="F73" t="s">
        <v>732</v>
      </c>
      <c r="G73" s="2" t="s">
        <v>675</v>
      </c>
      <c r="H73">
        <v>39000</v>
      </c>
      <c r="I73" s="8">
        <f>ROUND(Tabla4[[#This Row],[COSTO]]/0.7,0)</f>
        <v>55714</v>
      </c>
      <c r="J73" s="3">
        <f>ROUND(Tabla4[[#This Row],[P GRAN MAYOR]]/0.8,0)</f>
        <v>69643</v>
      </c>
      <c r="K73" s="3">
        <f>ROUND(Tabla4[[#This Row],[P POR MAYOR]]/(1-0.375),0)</f>
        <v>111429</v>
      </c>
    </row>
    <row r="74" spans="4:11" ht="30" x14ac:dyDescent="0.2">
      <c r="D74" s="1" t="s">
        <v>538</v>
      </c>
      <c r="E74" s="1" t="s">
        <v>539</v>
      </c>
      <c r="F74" t="s">
        <v>732</v>
      </c>
      <c r="G74" s="2" t="s">
        <v>676</v>
      </c>
      <c r="H74">
        <v>58500</v>
      </c>
      <c r="I74" s="8">
        <f>ROUND(Tabla4[[#This Row],[COSTO]]/0.7,0)</f>
        <v>83571</v>
      </c>
      <c r="J74" s="3">
        <f>ROUND(Tabla4[[#This Row],[P GRAN MAYOR]]/0.8,0)</f>
        <v>104464</v>
      </c>
      <c r="K74" s="3">
        <f>ROUND(Tabla4[[#This Row],[P POR MAYOR]]/(1-0.375),0)</f>
        <v>167142</v>
      </c>
    </row>
    <row r="75" spans="4:11" x14ac:dyDescent="0.2">
      <c r="D75" s="1" t="s">
        <v>540</v>
      </c>
      <c r="E75" s="1" t="s">
        <v>541</v>
      </c>
      <c r="F75" t="s">
        <v>134</v>
      </c>
      <c r="G75" s="1" t="s">
        <v>713</v>
      </c>
      <c r="H75">
        <v>15675</v>
      </c>
      <c r="I75" s="8">
        <f>ROUND(Tabla4[[#This Row],[COSTO]]/0.7,0)</f>
        <v>22393</v>
      </c>
      <c r="J75" s="3">
        <f>ROUND(Tabla4[[#This Row],[P GRAN MAYOR]]/0.8,0)</f>
        <v>27991</v>
      </c>
      <c r="K75" s="3">
        <f>ROUND(Tabla4[[#This Row],[P POR MAYOR]]/(1-0.375),0)</f>
        <v>44786</v>
      </c>
    </row>
    <row r="76" spans="4:11" x14ac:dyDescent="0.2">
      <c r="D76" s="1" t="s">
        <v>542</v>
      </c>
      <c r="E76" s="1" t="s">
        <v>543</v>
      </c>
      <c r="F76" t="s">
        <v>134</v>
      </c>
      <c r="G76" s="1" t="s">
        <v>714</v>
      </c>
      <c r="H76">
        <v>12825</v>
      </c>
      <c r="I76" s="8">
        <f>ROUND(Tabla4[[#This Row],[COSTO]]/0.7,0)</f>
        <v>18321</v>
      </c>
      <c r="J76" s="3">
        <f>ROUND(Tabla4[[#This Row],[P GRAN MAYOR]]/0.8,0)</f>
        <v>22901</v>
      </c>
      <c r="K76" s="3">
        <f>ROUND(Tabla4[[#This Row],[P POR MAYOR]]/(1-0.375),0)</f>
        <v>36642</v>
      </c>
    </row>
    <row r="77" spans="4:11" ht="17" x14ac:dyDescent="0.2">
      <c r="D77" s="1" t="s">
        <v>544</v>
      </c>
      <c r="E77" s="1" t="s">
        <v>545</v>
      </c>
      <c r="F77" t="s">
        <v>134</v>
      </c>
      <c r="G77" s="2" t="s">
        <v>715</v>
      </c>
      <c r="H77">
        <v>20425</v>
      </c>
      <c r="I77" s="8">
        <f>ROUND(Tabla4[[#This Row],[COSTO]]/0.7,0)</f>
        <v>29179</v>
      </c>
      <c r="J77" s="3">
        <f>ROUND(Tabla4[[#This Row],[P GRAN MAYOR]]/0.8,0)</f>
        <v>36474</v>
      </c>
      <c r="K77" s="3">
        <f>ROUND(Tabla4[[#This Row],[P POR MAYOR]]/(1-0.375),0)</f>
        <v>58358</v>
      </c>
    </row>
    <row r="78" spans="4:11" ht="17" x14ac:dyDescent="0.2">
      <c r="D78" s="1" t="s">
        <v>546</v>
      </c>
      <c r="E78" s="1" t="s">
        <v>547</v>
      </c>
      <c r="F78" t="s">
        <v>134</v>
      </c>
      <c r="G78" s="2" t="s">
        <v>716</v>
      </c>
      <c r="H78">
        <v>20425</v>
      </c>
      <c r="I78" s="8">
        <f>ROUND(Tabla4[[#This Row],[COSTO]]/0.7,0)</f>
        <v>29179</v>
      </c>
      <c r="J78" s="3">
        <f>ROUND(Tabla4[[#This Row],[P GRAN MAYOR]]/0.8,0)</f>
        <v>36474</v>
      </c>
      <c r="K78" s="3">
        <f>ROUND(Tabla4[[#This Row],[P POR MAYOR]]/(1-0.375),0)</f>
        <v>58358</v>
      </c>
    </row>
    <row r="79" spans="4:11" x14ac:dyDescent="0.2">
      <c r="D79" s="1" t="s">
        <v>548</v>
      </c>
      <c r="E79" s="1" t="s">
        <v>549</v>
      </c>
      <c r="F79" t="s">
        <v>134</v>
      </c>
      <c r="G79" s="1" t="s">
        <v>717</v>
      </c>
      <c r="H79">
        <v>20425</v>
      </c>
      <c r="I79" s="8">
        <f>ROUND(Tabla4[[#This Row],[COSTO]]/0.7,0)</f>
        <v>29179</v>
      </c>
      <c r="J79" s="3">
        <f>ROUND(Tabla4[[#This Row],[P GRAN MAYOR]]/0.8,0)</f>
        <v>36474</v>
      </c>
      <c r="K79" s="3">
        <f>ROUND(Tabla4[[#This Row],[P POR MAYOR]]/(1-0.375),0)</f>
        <v>58358</v>
      </c>
    </row>
    <row r="80" spans="4:11" ht="17" x14ac:dyDescent="0.2">
      <c r="D80" s="1" t="s">
        <v>550</v>
      </c>
      <c r="E80" s="1" t="s">
        <v>551</v>
      </c>
      <c r="F80" t="s">
        <v>134</v>
      </c>
      <c r="G80" s="2" t="s">
        <v>718</v>
      </c>
      <c r="H80">
        <v>20425</v>
      </c>
      <c r="I80" s="8">
        <f>ROUND(Tabla4[[#This Row],[COSTO]]/0.7,0)</f>
        <v>29179</v>
      </c>
      <c r="J80" s="3">
        <f>ROUND(Tabla4[[#This Row],[P GRAN MAYOR]]/0.8,0)</f>
        <v>36474</v>
      </c>
      <c r="K80" s="3">
        <f>ROUND(Tabla4[[#This Row],[P POR MAYOR]]/(1-0.375),0)</f>
        <v>58358</v>
      </c>
    </row>
    <row r="81" spans="4:11" ht="17" x14ac:dyDescent="0.2">
      <c r="D81" s="1" t="s">
        <v>552</v>
      </c>
      <c r="E81" s="1" t="s">
        <v>553</v>
      </c>
      <c r="F81" t="s">
        <v>134</v>
      </c>
      <c r="G81" s="2" t="s">
        <v>719</v>
      </c>
      <c r="H81">
        <v>20425</v>
      </c>
      <c r="I81" s="8">
        <f>ROUND(Tabla4[[#This Row],[COSTO]]/0.7,0)</f>
        <v>29179</v>
      </c>
      <c r="J81" s="3">
        <f>ROUND(Tabla4[[#This Row],[P GRAN MAYOR]]/0.8,0)</f>
        <v>36474</v>
      </c>
      <c r="K81" s="3">
        <f>ROUND(Tabla4[[#This Row],[P POR MAYOR]]/(1-0.375),0)</f>
        <v>58358</v>
      </c>
    </row>
    <row r="82" spans="4:11" ht="17" x14ac:dyDescent="0.2">
      <c r="D82" s="1" t="s">
        <v>554</v>
      </c>
      <c r="E82" s="1" t="s">
        <v>555</v>
      </c>
      <c r="F82" t="s">
        <v>134</v>
      </c>
      <c r="G82" s="2" t="s">
        <v>720</v>
      </c>
      <c r="H82">
        <v>20425</v>
      </c>
      <c r="I82" s="8">
        <f>ROUND(Tabla4[[#This Row],[COSTO]]/0.7,0)</f>
        <v>29179</v>
      </c>
      <c r="J82" s="3">
        <f>ROUND(Tabla4[[#This Row],[P GRAN MAYOR]]/0.8,0)</f>
        <v>36474</v>
      </c>
      <c r="K82" s="3">
        <f>ROUND(Tabla4[[#This Row],[P POR MAYOR]]/(1-0.375),0)</f>
        <v>58358</v>
      </c>
    </row>
    <row r="83" spans="4:11" x14ac:dyDescent="0.2">
      <c r="D83" s="1" t="s">
        <v>556</v>
      </c>
      <c r="E83" s="1" t="s">
        <v>557</v>
      </c>
      <c r="F83" t="s">
        <v>134</v>
      </c>
      <c r="G83" s="1" t="s">
        <v>721</v>
      </c>
      <c r="H83">
        <v>13490</v>
      </c>
      <c r="I83" s="8">
        <f>ROUND(Tabla4[[#This Row],[COSTO]]/0.7,0)</f>
        <v>19271</v>
      </c>
      <c r="J83" s="3">
        <f>ROUND(Tabla4[[#This Row],[P GRAN MAYOR]]/0.8,0)</f>
        <v>24089</v>
      </c>
      <c r="K83" s="3">
        <f>ROUND(Tabla4[[#This Row],[P POR MAYOR]]/(1-0.375),0)</f>
        <v>38542</v>
      </c>
    </row>
    <row r="84" spans="4:11" ht="17" x14ac:dyDescent="0.2">
      <c r="D84" s="1" t="s">
        <v>558</v>
      </c>
      <c r="E84" s="1" t="s">
        <v>559</v>
      </c>
      <c r="F84" t="s">
        <v>134</v>
      </c>
      <c r="G84" s="2" t="s">
        <v>722</v>
      </c>
      <c r="H84">
        <v>16625</v>
      </c>
      <c r="I84" s="8">
        <f>ROUND(Tabla4[[#This Row],[COSTO]]/0.7,0)</f>
        <v>23750</v>
      </c>
      <c r="J84" s="3">
        <f>ROUND(Tabla4[[#This Row],[P GRAN MAYOR]]/0.8,0)</f>
        <v>29688</v>
      </c>
      <c r="K84" s="3">
        <f>ROUND(Tabla4[[#This Row],[P POR MAYOR]]/(1-0.375),0)</f>
        <v>47501</v>
      </c>
    </row>
    <row r="85" spans="4:11" ht="17" x14ac:dyDescent="0.2">
      <c r="D85" s="1" t="s">
        <v>560</v>
      </c>
      <c r="E85" s="1" t="s">
        <v>561</v>
      </c>
      <c r="F85" t="s">
        <v>134</v>
      </c>
      <c r="G85" s="2" t="s">
        <v>723</v>
      </c>
      <c r="H85">
        <v>16625</v>
      </c>
      <c r="I85" s="8">
        <f>ROUND(Tabla4[[#This Row],[COSTO]]/0.7,0)</f>
        <v>23750</v>
      </c>
      <c r="J85" s="3">
        <f>ROUND(Tabla4[[#This Row],[P GRAN MAYOR]]/0.8,0)</f>
        <v>29688</v>
      </c>
      <c r="K85" s="3">
        <f>ROUND(Tabla4[[#This Row],[P POR MAYOR]]/(1-0.375),0)</f>
        <v>47501</v>
      </c>
    </row>
    <row r="86" spans="4:11" ht="17" x14ac:dyDescent="0.2">
      <c r="D86" s="1" t="s">
        <v>1420</v>
      </c>
      <c r="E86" s="1" t="s">
        <v>1422</v>
      </c>
      <c r="F86" t="s">
        <v>732</v>
      </c>
      <c r="G86" s="2" t="s">
        <v>1424</v>
      </c>
      <c r="H86">
        <v>15300</v>
      </c>
      <c r="I86" s="8">
        <f>ROUND(Tabla4[[#This Row],[COSTO]]/0.7,0)</f>
        <v>21857</v>
      </c>
      <c r="J86" s="3">
        <f>ROUND(Tabla4[[#This Row],[P GRAN MAYOR]]/0.8,0)</f>
        <v>27321</v>
      </c>
      <c r="K86" s="3">
        <f>ROUND(Tabla4[[#This Row],[P POR MAYOR]]/(1-0.375),0)</f>
        <v>43714</v>
      </c>
    </row>
    <row r="87" spans="4:11" ht="17" x14ac:dyDescent="0.2">
      <c r="D87" s="1" t="s">
        <v>1421</v>
      </c>
      <c r="E87" s="1" t="s">
        <v>1423</v>
      </c>
      <c r="F87" t="s">
        <v>732</v>
      </c>
      <c r="G87" s="2" t="s">
        <v>1427</v>
      </c>
      <c r="H87">
        <v>18000</v>
      </c>
      <c r="I87" s="8">
        <f>ROUND(Tabla4[[#This Row],[COSTO]]/0.7,0)</f>
        <v>25714</v>
      </c>
      <c r="J87" s="3">
        <f>ROUND(Tabla4[[#This Row],[P GRAN MAYOR]]/0.8,0)</f>
        <v>32143</v>
      </c>
      <c r="K87" s="3">
        <f>ROUND(Tabla4[[#This Row],[P POR MAYOR]]/(1-0.375),0)</f>
        <v>51429</v>
      </c>
    </row>
    <row r="88" spans="4:11" ht="17" x14ac:dyDescent="0.2">
      <c r="D88" s="1" t="s">
        <v>562</v>
      </c>
      <c r="E88" s="1" t="s">
        <v>563</v>
      </c>
      <c r="F88" t="s">
        <v>134</v>
      </c>
      <c r="G88" s="2" t="s">
        <v>724</v>
      </c>
      <c r="H88">
        <v>21375</v>
      </c>
      <c r="I88" s="8">
        <f>ROUND(Tabla4[[#This Row],[COSTO]]/0.7,0)</f>
        <v>30536</v>
      </c>
      <c r="J88" s="3">
        <f>ROUND(Tabla4[[#This Row],[P GRAN MAYOR]]/0.8,0)</f>
        <v>38170</v>
      </c>
      <c r="K88" s="3">
        <f>ROUND(Tabla4[[#This Row],[P POR MAYOR]]/(1-0.375),0)</f>
        <v>61072</v>
      </c>
    </row>
    <row r="89" spans="4:11" ht="17" x14ac:dyDescent="0.2">
      <c r="D89" s="1" t="s">
        <v>564</v>
      </c>
      <c r="E89" s="1" t="s">
        <v>565</v>
      </c>
      <c r="F89" t="s">
        <v>134</v>
      </c>
      <c r="G89" s="2" t="s">
        <v>725</v>
      </c>
      <c r="H89">
        <v>21375</v>
      </c>
      <c r="I89" s="8">
        <f>ROUND(Tabla4[[#This Row],[COSTO]]/0.7,0)</f>
        <v>30536</v>
      </c>
      <c r="J89" s="3">
        <f>ROUND(Tabla4[[#This Row],[P GRAN MAYOR]]/0.8,0)</f>
        <v>38170</v>
      </c>
      <c r="K89" s="3">
        <f>ROUND(Tabla4[[#This Row],[P POR MAYOR]]/(1-0.375),0)</f>
        <v>61072</v>
      </c>
    </row>
    <row r="90" spans="4:11" ht="17" x14ac:dyDescent="0.2">
      <c r="D90" s="1" t="s">
        <v>566</v>
      </c>
      <c r="E90" s="1" t="s">
        <v>567</v>
      </c>
      <c r="F90" t="s">
        <v>134</v>
      </c>
      <c r="G90" s="2" t="s">
        <v>726</v>
      </c>
      <c r="H90">
        <v>21375</v>
      </c>
      <c r="I90" s="8">
        <f>ROUND(Tabla4[[#This Row],[COSTO]]/0.7,0)</f>
        <v>30536</v>
      </c>
      <c r="J90" s="3">
        <f>ROUND(Tabla4[[#This Row],[P GRAN MAYOR]]/0.8,0)</f>
        <v>38170</v>
      </c>
      <c r="K90" s="3">
        <f>ROUND(Tabla4[[#This Row],[P POR MAYOR]]/(1-0.375),0)</f>
        <v>61072</v>
      </c>
    </row>
    <row r="91" spans="4:11" ht="17" x14ac:dyDescent="0.2">
      <c r="D91" s="1" t="s">
        <v>568</v>
      </c>
      <c r="E91" s="1" t="s">
        <v>569</v>
      </c>
      <c r="F91" t="s">
        <v>134</v>
      </c>
      <c r="G91" s="2" t="s">
        <v>727</v>
      </c>
      <c r="H91">
        <v>21375</v>
      </c>
      <c r="I91" s="8">
        <f>ROUND(Tabla4[[#This Row],[COSTO]]/0.7,0)</f>
        <v>30536</v>
      </c>
      <c r="J91" s="3">
        <f>ROUND(Tabla4[[#This Row],[P GRAN MAYOR]]/0.8,0)</f>
        <v>38170</v>
      </c>
      <c r="K91" s="3">
        <f>ROUND(Tabla4[[#This Row],[P POR MAYOR]]/(1-0.375),0)</f>
        <v>61072</v>
      </c>
    </row>
    <row r="92" spans="4:11" ht="17" x14ac:dyDescent="0.2">
      <c r="D92" s="1" t="s">
        <v>570</v>
      </c>
      <c r="E92" s="1" t="s">
        <v>571</v>
      </c>
      <c r="F92" t="s">
        <v>134</v>
      </c>
      <c r="G92" s="2" t="s">
        <v>728</v>
      </c>
      <c r="H92">
        <v>21375</v>
      </c>
      <c r="I92" s="8">
        <f>ROUND(Tabla4[[#This Row],[COSTO]]/0.7,0)</f>
        <v>30536</v>
      </c>
      <c r="J92" s="3">
        <f>ROUND(Tabla4[[#This Row],[P GRAN MAYOR]]/0.8,0)</f>
        <v>38170</v>
      </c>
      <c r="K92" s="3">
        <f>ROUND(Tabla4[[#This Row],[P POR MAYOR]]/(1-0.375),0)</f>
        <v>61072</v>
      </c>
    </row>
    <row r="93" spans="4:11" ht="17" x14ac:dyDescent="0.2">
      <c r="D93" s="1" t="s">
        <v>572</v>
      </c>
      <c r="E93" s="1" t="s">
        <v>573</v>
      </c>
      <c r="F93" t="s">
        <v>134</v>
      </c>
      <c r="G93" s="2" t="s">
        <v>729</v>
      </c>
      <c r="H93">
        <v>21375</v>
      </c>
      <c r="I93" s="8">
        <f>ROUND(Tabla4[[#This Row],[COSTO]]/0.7,0)</f>
        <v>30536</v>
      </c>
      <c r="J93" s="3">
        <f>ROUND(Tabla4[[#This Row],[P GRAN MAYOR]]/0.8,0)</f>
        <v>38170</v>
      </c>
      <c r="K93" s="3">
        <f>ROUND(Tabla4[[#This Row],[P POR MAYOR]]/(1-0.375),0)</f>
        <v>61072</v>
      </c>
    </row>
    <row r="94" spans="4:11" ht="17" x14ac:dyDescent="0.2">
      <c r="D94" s="1" t="s">
        <v>574</v>
      </c>
      <c r="E94" s="1" t="s">
        <v>575</v>
      </c>
      <c r="F94" t="s">
        <v>134</v>
      </c>
      <c r="G94" s="2" t="s">
        <v>730</v>
      </c>
      <c r="H94">
        <v>21375</v>
      </c>
      <c r="I94" s="8">
        <f>ROUND(Tabla4[[#This Row],[COSTO]]/0.7,0)</f>
        <v>30536</v>
      </c>
      <c r="J94" s="3">
        <f>ROUND(Tabla4[[#This Row],[P GRAN MAYOR]]/0.8,0)</f>
        <v>38170</v>
      </c>
      <c r="K94" s="3">
        <f>ROUND(Tabla4[[#This Row],[P POR MAYOR]]/(1-0.375),0)</f>
        <v>61072</v>
      </c>
    </row>
    <row r="95" spans="4:11" ht="17" x14ac:dyDescent="0.2">
      <c r="D95" s="1" t="s">
        <v>576</v>
      </c>
      <c r="E95" s="1" t="s">
        <v>577</v>
      </c>
      <c r="F95" t="s">
        <v>134</v>
      </c>
      <c r="G95" s="2" t="s">
        <v>731</v>
      </c>
      <c r="H95">
        <v>21375</v>
      </c>
      <c r="I95" s="8">
        <f>ROUND(Tabla4[[#This Row],[COSTO]]/0.7,0)</f>
        <v>30536</v>
      </c>
      <c r="J95" s="3">
        <f>ROUND(Tabla4[[#This Row],[P GRAN MAYOR]]/0.8,0)</f>
        <v>38170</v>
      </c>
      <c r="K95" s="3">
        <f>ROUND(Tabla4[[#This Row],[P POR MAYOR]]/(1-0.375),0)</f>
        <v>61072</v>
      </c>
    </row>
    <row r="96" spans="4:11" x14ac:dyDescent="0.2">
      <c r="D96" s="1" t="s">
        <v>578</v>
      </c>
      <c r="E96" s="1" t="s">
        <v>579</v>
      </c>
      <c r="F96" t="s">
        <v>134</v>
      </c>
      <c r="G96" s="1" t="s">
        <v>677</v>
      </c>
      <c r="H96">
        <v>16910</v>
      </c>
      <c r="I96" s="8">
        <f>ROUND(Tabla4[[#This Row],[COSTO]]/0.7,0)</f>
        <v>24157</v>
      </c>
      <c r="J96" s="3">
        <f>ROUND(Tabla4[[#This Row],[P GRAN MAYOR]]/0.8,0)</f>
        <v>30196</v>
      </c>
      <c r="K96" s="3">
        <f>ROUND(Tabla4[[#This Row],[P POR MAYOR]]/(1-0.375),0)</f>
        <v>48314</v>
      </c>
    </row>
    <row r="97" spans="4:11" ht="17" x14ac:dyDescent="0.2">
      <c r="D97" s="1" t="s">
        <v>580</v>
      </c>
      <c r="E97" s="1" t="s">
        <v>581</v>
      </c>
      <c r="F97" t="s">
        <v>134</v>
      </c>
      <c r="G97" s="2" t="s">
        <v>678</v>
      </c>
      <c r="H97">
        <v>27075</v>
      </c>
      <c r="I97" s="8">
        <f>ROUND(Tabla4[[#This Row],[COSTO]]/0.7,0)</f>
        <v>38679</v>
      </c>
      <c r="J97" s="3">
        <f>ROUND(Tabla4[[#This Row],[P GRAN MAYOR]]/0.8,0)</f>
        <v>48349</v>
      </c>
      <c r="K97" s="3">
        <f>ROUND(Tabla4[[#This Row],[P POR MAYOR]]/(1-0.375),0)</f>
        <v>77358</v>
      </c>
    </row>
    <row r="98" spans="4:11" ht="17" x14ac:dyDescent="0.2">
      <c r="D98" s="1" t="s">
        <v>582</v>
      </c>
      <c r="E98" s="1" t="s">
        <v>583</v>
      </c>
      <c r="F98" t="s">
        <v>134</v>
      </c>
      <c r="G98" s="2" t="s">
        <v>679</v>
      </c>
      <c r="H98">
        <v>27075</v>
      </c>
      <c r="I98" s="8">
        <f>ROUND(Tabla4[[#This Row],[COSTO]]/0.7,0)</f>
        <v>38679</v>
      </c>
      <c r="J98" s="3">
        <f>ROUND(Tabla4[[#This Row],[P GRAN MAYOR]]/0.8,0)</f>
        <v>48349</v>
      </c>
      <c r="K98" s="3">
        <f>ROUND(Tabla4[[#This Row],[P POR MAYOR]]/(1-0.375),0)</f>
        <v>77358</v>
      </c>
    </row>
    <row r="99" spans="4:11" ht="17" x14ac:dyDescent="0.2">
      <c r="D99" s="1" t="s">
        <v>584</v>
      </c>
      <c r="E99" s="1" t="s">
        <v>585</v>
      </c>
      <c r="F99" t="s">
        <v>134</v>
      </c>
      <c r="G99" s="2" t="s">
        <v>680</v>
      </c>
      <c r="H99">
        <v>27075</v>
      </c>
      <c r="I99" s="8">
        <f>ROUND(Tabla4[[#This Row],[COSTO]]/0.7,0)</f>
        <v>38679</v>
      </c>
      <c r="J99" s="3">
        <f>ROUND(Tabla4[[#This Row],[P GRAN MAYOR]]/0.8,0)</f>
        <v>48349</v>
      </c>
      <c r="K99" s="3">
        <f>ROUND(Tabla4[[#This Row],[P POR MAYOR]]/(1-0.375),0)</f>
        <v>77358</v>
      </c>
    </row>
    <row r="100" spans="4:11" ht="17" x14ac:dyDescent="0.2">
      <c r="D100" s="1" t="s">
        <v>586</v>
      </c>
      <c r="E100" s="1" t="s">
        <v>587</v>
      </c>
      <c r="F100" t="s">
        <v>134</v>
      </c>
      <c r="G100" s="2" t="s">
        <v>681</v>
      </c>
      <c r="H100">
        <v>27075</v>
      </c>
      <c r="I100" s="8">
        <f>ROUND(Tabla4[[#This Row],[COSTO]]/0.7,0)</f>
        <v>38679</v>
      </c>
      <c r="J100" s="3">
        <f>ROUND(Tabla4[[#This Row],[P GRAN MAYOR]]/0.8,0)</f>
        <v>48349</v>
      </c>
      <c r="K100" s="3">
        <f>ROUND(Tabla4[[#This Row],[P POR MAYOR]]/(1-0.375),0)</f>
        <v>77358</v>
      </c>
    </row>
    <row r="101" spans="4:11" ht="17" x14ac:dyDescent="0.2">
      <c r="D101" s="1" t="s">
        <v>588</v>
      </c>
      <c r="E101" s="1" t="s">
        <v>589</v>
      </c>
      <c r="F101" t="s">
        <v>134</v>
      </c>
      <c r="G101" s="2" t="s">
        <v>682</v>
      </c>
      <c r="H101">
        <v>27075</v>
      </c>
      <c r="I101" s="8">
        <f>ROUND(Tabla4[[#This Row],[COSTO]]/0.7,0)</f>
        <v>38679</v>
      </c>
      <c r="J101" s="3">
        <f>ROUND(Tabla4[[#This Row],[P GRAN MAYOR]]/0.8,0)</f>
        <v>48349</v>
      </c>
      <c r="K101" s="3">
        <f>ROUND(Tabla4[[#This Row],[P POR MAYOR]]/(1-0.375),0)</f>
        <v>77358</v>
      </c>
    </row>
    <row r="102" spans="4:11" ht="17" x14ac:dyDescent="0.2">
      <c r="D102" s="1" t="s">
        <v>590</v>
      </c>
      <c r="E102" s="1" t="s">
        <v>591</v>
      </c>
      <c r="F102" t="s">
        <v>134</v>
      </c>
      <c r="G102" s="2" t="s">
        <v>683</v>
      </c>
      <c r="H102">
        <v>27075</v>
      </c>
      <c r="I102" s="8">
        <f>ROUND(Tabla4[[#This Row],[COSTO]]/0.7,0)</f>
        <v>38679</v>
      </c>
      <c r="J102" s="3">
        <f>ROUND(Tabla4[[#This Row],[P GRAN MAYOR]]/0.8,0)</f>
        <v>48349</v>
      </c>
      <c r="K102" s="3">
        <f>ROUND(Tabla4[[#This Row],[P POR MAYOR]]/(1-0.375),0)</f>
        <v>77358</v>
      </c>
    </row>
    <row r="103" spans="4:11" ht="17" x14ac:dyDescent="0.2">
      <c r="D103" s="1" t="s">
        <v>592</v>
      </c>
      <c r="E103" s="1" t="s">
        <v>593</v>
      </c>
      <c r="F103" t="s">
        <v>134</v>
      </c>
      <c r="G103" s="2" t="s">
        <v>684</v>
      </c>
      <c r="H103">
        <v>9310</v>
      </c>
      <c r="I103" s="8">
        <f>ROUND(Tabla4[[#This Row],[COSTO]]/0.7,0)</f>
        <v>13300</v>
      </c>
      <c r="J103" s="3">
        <f>ROUND(Tabla4[[#This Row],[P GRAN MAYOR]]/0.8,0)</f>
        <v>16625</v>
      </c>
      <c r="K103" s="3">
        <f>ROUND(Tabla4[[#This Row],[P POR MAYOR]]/(1-0.375),0)</f>
        <v>26600</v>
      </c>
    </row>
    <row r="104" spans="4:11" ht="17" x14ac:dyDescent="0.2">
      <c r="D104" s="1" t="s">
        <v>594</v>
      </c>
      <c r="E104" s="1" t="s">
        <v>595</v>
      </c>
      <c r="F104" t="s">
        <v>134</v>
      </c>
      <c r="G104" s="2" t="s">
        <v>685</v>
      </c>
      <c r="H104">
        <v>9310</v>
      </c>
      <c r="I104" s="8">
        <f>ROUND(Tabla4[[#This Row],[COSTO]]/0.7,0)</f>
        <v>13300</v>
      </c>
      <c r="J104" s="3">
        <f>ROUND(Tabla4[[#This Row],[P GRAN MAYOR]]/0.8,0)</f>
        <v>16625</v>
      </c>
      <c r="K104" s="3">
        <f>ROUND(Tabla4[[#This Row],[P POR MAYOR]]/(1-0.375),0)</f>
        <v>26600</v>
      </c>
    </row>
    <row r="105" spans="4:11" ht="17" x14ac:dyDescent="0.2">
      <c r="D105" s="1" t="s">
        <v>596</v>
      </c>
      <c r="E105" s="1" t="s">
        <v>597</v>
      </c>
      <c r="F105" t="s">
        <v>134</v>
      </c>
      <c r="G105" s="2" t="s">
        <v>686</v>
      </c>
      <c r="H105">
        <v>9310</v>
      </c>
      <c r="I105" s="8">
        <f>ROUND(Tabla4[[#This Row],[COSTO]]/0.7,0)</f>
        <v>13300</v>
      </c>
      <c r="J105" s="3">
        <f>ROUND(Tabla4[[#This Row],[P GRAN MAYOR]]/0.8,0)</f>
        <v>16625</v>
      </c>
      <c r="K105" s="3">
        <f>ROUND(Tabla4[[#This Row],[P POR MAYOR]]/(1-0.375),0)</f>
        <v>26600</v>
      </c>
    </row>
    <row r="106" spans="4:11" ht="17" x14ac:dyDescent="0.2">
      <c r="D106" s="1" t="s">
        <v>598</v>
      </c>
      <c r="E106" s="1" t="s">
        <v>599</v>
      </c>
      <c r="F106" t="s">
        <v>134</v>
      </c>
      <c r="G106" s="2" t="s">
        <v>687</v>
      </c>
      <c r="H106">
        <v>9310</v>
      </c>
      <c r="I106" s="8">
        <f>ROUND(Tabla4[[#This Row],[COSTO]]/0.7,0)</f>
        <v>13300</v>
      </c>
      <c r="J106" s="3">
        <f>ROUND(Tabla4[[#This Row],[P GRAN MAYOR]]/0.8,0)</f>
        <v>16625</v>
      </c>
      <c r="K106" s="3">
        <f>ROUND(Tabla4[[#This Row],[P POR MAYOR]]/(1-0.375),0)</f>
        <v>26600</v>
      </c>
    </row>
    <row r="107" spans="4:11" ht="17" x14ac:dyDescent="0.2">
      <c r="D107" s="1" t="s">
        <v>600</v>
      </c>
      <c r="E107" s="1" t="s">
        <v>601</v>
      </c>
      <c r="F107" t="s">
        <v>134</v>
      </c>
      <c r="G107" s="2" t="s">
        <v>688</v>
      </c>
      <c r="H107">
        <v>9310</v>
      </c>
      <c r="I107" s="8">
        <f>ROUND(Tabla4[[#This Row],[COSTO]]/0.7,0)</f>
        <v>13300</v>
      </c>
      <c r="J107" s="3">
        <f>ROUND(Tabla4[[#This Row],[P GRAN MAYOR]]/0.8,0)</f>
        <v>16625</v>
      </c>
      <c r="K107" s="3">
        <f>ROUND(Tabla4[[#This Row],[P POR MAYOR]]/(1-0.375),0)</f>
        <v>26600</v>
      </c>
    </row>
    <row r="108" spans="4:11" ht="17" x14ac:dyDescent="0.2">
      <c r="D108" s="1" t="s">
        <v>602</v>
      </c>
      <c r="E108" s="1" t="s">
        <v>603</v>
      </c>
      <c r="F108" t="s">
        <v>134</v>
      </c>
      <c r="G108" s="2" t="s">
        <v>689</v>
      </c>
      <c r="H108">
        <v>9310</v>
      </c>
      <c r="I108" s="8">
        <f>ROUND(Tabla4[[#This Row],[COSTO]]/0.7,0)</f>
        <v>13300</v>
      </c>
      <c r="J108" s="3">
        <f>ROUND(Tabla4[[#This Row],[P GRAN MAYOR]]/0.8,0)</f>
        <v>16625</v>
      </c>
      <c r="K108" s="3">
        <f>ROUND(Tabla4[[#This Row],[P POR MAYOR]]/(1-0.375),0)</f>
        <v>26600</v>
      </c>
    </row>
    <row r="109" spans="4:11" ht="17" x14ac:dyDescent="0.2">
      <c r="D109" s="1" t="s">
        <v>604</v>
      </c>
      <c r="E109" s="1" t="s">
        <v>605</v>
      </c>
      <c r="F109" t="s">
        <v>134</v>
      </c>
      <c r="G109" s="2" t="s">
        <v>690</v>
      </c>
      <c r="H109">
        <v>9310</v>
      </c>
      <c r="I109" s="8">
        <f>ROUND(Tabla4[[#This Row],[COSTO]]/0.7,0)</f>
        <v>13300</v>
      </c>
      <c r="J109" s="3">
        <f>ROUND(Tabla4[[#This Row],[P GRAN MAYOR]]/0.8,0)</f>
        <v>16625</v>
      </c>
      <c r="K109" s="3">
        <f>ROUND(Tabla4[[#This Row],[P POR MAYOR]]/(1-0.375),0)</f>
        <v>26600</v>
      </c>
    </row>
    <row r="110" spans="4:11" ht="17" x14ac:dyDescent="0.2">
      <c r="D110" s="1" t="s">
        <v>606</v>
      </c>
      <c r="E110" s="1" t="s">
        <v>607</v>
      </c>
      <c r="F110" t="s">
        <v>134</v>
      </c>
      <c r="G110" s="2" t="s">
        <v>691</v>
      </c>
      <c r="H110">
        <v>9310</v>
      </c>
      <c r="I110" s="8">
        <f>ROUND(Tabla4[[#This Row],[COSTO]]/0.7,0)</f>
        <v>13300</v>
      </c>
      <c r="J110" s="3">
        <f>ROUND(Tabla4[[#This Row],[P GRAN MAYOR]]/0.8,0)</f>
        <v>16625</v>
      </c>
      <c r="K110" s="3">
        <f>ROUND(Tabla4[[#This Row],[P POR MAYOR]]/(1-0.375),0)</f>
        <v>26600</v>
      </c>
    </row>
    <row r="111" spans="4:11" x14ac:dyDescent="0.2">
      <c r="D111" s="1" t="s">
        <v>608</v>
      </c>
      <c r="E111" s="1" t="s">
        <v>609</v>
      </c>
      <c r="F111" t="s">
        <v>134</v>
      </c>
      <c r="G111" s="1" t="s">
        <v>692</v>
      </c>
      <c r="H111">
        <v>11875</v>
      </c>
      <c r="I111" s="8">
        <f>ROUND(Tabla4[[#This Row],[COSTO]]/0.7,0)</f>
        <v>16964</v>
      </c>
      <c r="J111" s="3">
        <f>ROUND(Tabla4[[#This Row],[P GRAN MAYOR]]/0.8,0)</f>
        <v>21205</v>
      </c>
      <c r="K111" s="3">
        <f>ROUND(Tabla4[[#This Row],[P POR MAYOR]]/(1-0.375),0)</f>
        <v>33928</v>
      </c>
    </row>
    <row r="112" spans="4:11" ht="17" x14ac:dyDescent="0.2">
      <c r="D112" s="1" t="s">
        <v>610</v>
      </c>
      <c r="E112" s="1" t="s">
        <v>611</v>
      </c>
      <c r="F112" t="s">
        <v>132</v>
      </c>
      <c r="G112" s="2" t="s">
        <v>693</v>
      </c>
      <c r="H112">
        <v>16200</v>
      </c>
      <c r="I112" s="8">
        <f>ROUND(Tabla4[[#This Row],[COSTO]]/0.7,0)</f>
        <v>23143</v>
      </c>
      <c r="J112" s="3">
        <f>ROUND(Tabla4[[#This Row],[P GRAN MAYOR]]/0.8,0)</f>
        <v>28929</v>
      </c>
      <c r="K112" s="3">
        <f>ROUND(Tabla4[[#This Row],[P POR MAYOR]]/(1-0.375),0)</f>
        <v>46286</v>
      </c>
    </row>
    <row r="113" spans="4:18" ht="17" x14ac:dyDescent="0.2">
      <c r="D113" s="1" t="s">
        <v>612</v>
      </c>
      <c r="E113" s="1" t="s">
        <v>613</v>
      </c>
      <c r="F113" t="s">
        <v>132</v>
      </c>
      <c r="G113" s="2" t="s">
        <v>694</v>
      </c>
      <c r="H113">
        <v>19800</v>
      </c>
      <c r="I113" s="8">
        <f>ROUND(Tabla4[[#This Row],[COSTO]]/0.7,0)</f>
        <v>28286</v>
      </c>
      <c r="J113" s="3">
        <f>ROUND(Tabla4[[#This Row],[P GRAN MAYOR]]/0.8,0)</f>
        <v>35358</v>
      </c>
      <c r="K113" s="3">
        <f>ROUND(Tabla4[[#This Row],[P POR MAYOR]]/(1-0.375),0)</f>
        <v>56573</v>
      </c>
    </row>
    <row r="114" spans="4:18" ht="17" x14ac:dyDescent="0.2">
      <c r="D114" s="1" t="s">
        <v>614</v>
      </c>
      <c r="E114" s="1" t="s">
        <v>615</v>
      </c>
      <c r="F114" t="s">
        <v>132</v>
      </c>
      <c r="G114" s="2" t="s">
        <v>695</v>
      </c>
      <c r="H114">
        <v>36000</v>
      </c>
      <c r="I114" s="8">
        <f>ROUND(Tabla4[[#This Row],[COSTO]]/0.7,0)</f>
        <v>51429</v>
      </c>
      <c r="J114" s="3">
        <f>ROUND(Tabla4[[#This Row],[P GRAN MAYOR]]/0.8,0)</f>
        <v>64286</v>
      </c>
      <c r="K114" s="3">
        <f>ROUND(Tabla4[[#This Row],[P POR MAYOR]]/(1-0.375),0)</f>
        <v>102858</v>
      </c>
    </row>
    <row r="115" spans="4:18" ht="17" x14ac:dyDescent="0.2">
      <c r="D115" s="1" t="s">
        <v>616</v>
      </c>
      <c r="E115" s="1" t="s">
        <v>617</v>
      </c>
      <c r="F115" t="s">
        <v>132</v>
      </c>
      <c r="G115" s="2" t="s">
        <v>696</v>
      </c>
      <c r="H115">
        <v>124200</v>
      </c>
      <c r="I115" s="8">
        <f>ROUND(Tabla4[[#This Row],[COSTO]]/0.7,0)</f>
        <v>177429</v>
      </c>
      <c r="J115" s="3">
        <f>ROUND(Tabla4[[#This Row],[P GRAN MAYOR]]/0.8,0)</f>
        <v>221786</v>
      </c>
      <c r="K115" s="3">
        <f>ROUND(Tabla4[[#This Row],[P POR MAYOR]]/(1-0.375),0)</f>
        <v>354858</v>
      </c>
    </row>
    <row r="116" spans="4:18" ht="17" x14ac:dyDescent="0.2">
      <c r="D116" s="1" t="s">
        <v>618</v>
      </c>
      <c r="E116" s="1" t="s">
        <v>619</v>
      </c>
      <c r="F116" t="s">
        <v>132</v>
      </c>
      <c r="G116" s="2" t="s">
        <v>697</v>
      </c>
      <c r="H116">
        <v>34200</v>
      </c>
      <c r="I116" s="8">
        <f>ROUND(Tabla4[[#This Row],[COSTO]]/0.7,0)</f>
        <v>48857</v>
      </c>
      <c r="J116" s="3">
        <f>ROUND(Tabla4[[#This Row],[P GRAN MAYOR]]/0.8,0)</f>
        <v>61071</v>
      </c>
      <c r="K116" s="3">
        <f>ROUND(Tabla4[[#This Row],[P POR MAYOR]]/(1-0.375),0)</f>
        <v>97714</v>
      </c>
    </row>
    <row r="117" spans="4:18" ht="17" x14ac:dyDescent="0.2">
      <c r="D117" s="1" t="s">
        <v>620</v>
      </c>
      <c r="E117" s="1" t="s">
        <v>621</v>
      </c>
      <c r="F117" t="s">
        <v>132</v>
      </c>
      <c r="G117" s="2" t="s">
        <v>698</v>
      </c>
      <c r="H117">
        <v>10800</v>
      </c>
      <c r="I117" s="8">
        <f>ROUND(Tabla4[[#This Row],[COSTO]]/0.7,0)</f>
        <v>15429</v>
      </c>
      <c r="J117" s="3">
        <f>ROUND(Tabla4[[#This Row],[P GRAN MAYOR]]/0.8,0)</f>
        <v>19286</v>
      </c>
      <c r="K117" s="3">
        <f>ROUND(Tabla4[[#This Row],[P POR MAYOR]]/(1-0.375),0)</f>
        <v>30858</v>
      </c>
    </row>
    <row r="118" spans="4:18" ht="17" x14ac:dyDescent="0.2">
      <c r="D118" s="1" t="s">
        <v>622</v>
      </c>
      <c r="E118" s="1" t="s">
        <v>623</v>
      </c>
      <c r="F118" t="s">
        <v>132</v>
      </c>
      <c r="G118" s="2" t="s">
        <v>699</v>
      </c>
      <c r="H118">
        <v>10800</v>
      </c>
      <c r="I118" s="8">
        <f>ROUND(Tabla4[[#This Row],[COSTO]]/0.7,0)</f>
        <v>15429</v>
      </c>
      <c r="J118" s="3">
        <f>ROUND(Tabla4[[#This Row],[P GRAN MAYOR]]/0.8,0)</f>
        <v>19286</v>
      </c>
      <c r="K118" s="3">
        <f>ROUND(Tabla4[[#This Row],[P POR MAYOR]]/(1-0.375),0)</f>
        <v>30858</v>
      </c>
    </row>
    <row r="119" spans="4:18" ht="17" x14ac:dyDescent="0.2">
      <c r="D119" s="1" t="s">
        <v>624</v>
      </c>
      <c r="E119" s="1" t="s">
        <v>625</v>
      </c>
      <c r="F119" t="s">
        <v>132</v>
      </c>
      <c r="G119" s="2" t="s">
        <v>700</v>
      </c>
      <c r="H119">
        <v>16200</v>
      </c>
      <c r="I119" s="8">
        <f>ROUND(Tabla4[[#This Row],[COSTO]]/0.7,0)</f>
        <v>23143</v>
      </c>
      <c r="J119" s="3">
        <f>ROUND(Tabla4[[#This Row],[P GRAN MAYOR]]/0.8,0)</f>
        <v>28929</v>
      </c>
      <c r="K119" s="3">
        <f>ROUND(Tabla4[[#This Row],[P POR MAYOR]]/(1-0.375),0)</f>
        <v>46286</v>
      </c>
    </row>
    <row r="120" spans="4:18" ht="17" x14ac:dyDescent="0.2">
      <c r="D120" s="1" t="s">
        <v>626</v>
      </c>
      <c r="E120" s="1" t="s">
        <v>627</v>
      </c>
      <c r="F120" t="s">
        <v>132</v>
      </c>
      <c r="G120" s="2" t="s">
        <v>701</v>
      </c>
      <c r="H120">
        <v>62100</v>
      </c>
      <c r="I120" s="8">
        <f>ROUND(Tabla4[[#This Row],[COSTO]]/0.7,0)</f>
        <v>88714</v>
      </c>
      <c r="J120" s="3">
        <f>ROUND(Tabla4[[#This Row],[P GRAN MAYOR]]/0.8,0)</f>
        <v>110893</v>
      </c>
      <c r="K120" s="3">
        <f>ROUND(Tabla4[[#This Row],[P POR MAYOR]]/(1-0.375),0)</f>
        <v>177429</v>
      </c>
    </row>
    <row r="121" spans="4:18" ht="17" x14ac:dyDescent="0.2">
      <c r="D121" s="1" t="s">
        <v>628</v>
      </c>
      <c r="E121" s="1" t="s">
        <v>629</v>
      </c>
      <c r="F121" t="s">
        <v>132</v>
      </c>
      <c r="G121" s="2" t="s">
        <v>1380</v>
      </c>
      <c r="H121">
        <f>14000*0.85</f>
        <v>11900</v>
      </c>
      <c r="I121" s="8">
        <f>ROUND(Tabla4[[#This Row],[COSTO]]/0.7,0)</f>
        <v>17000</v>
      </c>
      <c r="J121" s="3">
        <f>ROUND(Tabla4[[#This Row],[P GRAN MAYOR]]/0.8,0)</f>
        <v>21250</v>
      </c>
      <c r="K121" s="3">
        <f>ROUND(Tabla4[[#This Row],[P POR MAYOR]]/(1-0.375),0)</f>
        <v>34000</v>
      </c>
    </row>
    <row r="122" spans="4:18" ht="17" x14ac:dyDescent="0.2">
      <c r="D122" s="1" t="s">
        <v>630</v>
      </c>
      <c r="E122" s="1" t="s">
        <v>631</v>
      </c>
      <c r="F122" t="s">
        <v>132</v>
      </c>
      <c r="G122" s="2" t="s">
        <v>1379</v>
      </c>
      <c r="H122">
        <f>12000*0.85</f>
        <v>10200</v>
      </c>
      <c r="I122" s="8">
        <f>ROUND(Tabla4[[#This Row],[COSTO]]/0.7,0)</f>
        <v>14571</v>
      </c>
      <c r="J122" s="3">
        <f>ROUND(Tabla4[[#This Row],[P GRAN MAYOR]]/0.8,0)</f>
        <v>18214</v>
      </c>
      <c r="K122" s="3">
        <f>ROUND(Tabla4[[#This Row],[P POR MAYOR]]/(1-0.375),0)</f>
        <v>29142</v>
      </c>
    </row>
    <row r="123" spans="4:18" x14ac:dyDescent="0.2">
      <c r="D123" s="1" t="s">
        <v>632</v>
      </c>
      <c r="E123" s="1" t="s">
        <v>633</v>
      </c>
      <c r="F123" t="s">
        <v>131</v>
      </c>
      <c r="G123" s="2"/>
      <c r="H123">
        <v>24000</v>
      </c>
      <c r="I123" s="8">
        <f>ROUND(Tabla4[[#This Row],[COSTO]]/0.7,0)</f>
        <v>34286</v>
      </c>
      <c r="J123" s="3">
        <f>ROUND(Tabla4[[#This Row],[P GRAN MAYOR]]/0.8,0)</f>
        <v>42858</v>
      </c>
      <c r="K123" s="3">
        <f>ROUND(Tabla4[[#This Row],[P POR MAYOR]]/(1-0.375),0)</f>
        <v>68573</v>
      </c>
      <c r="O123" t="s">
        <v>633</v>
      </c>
      <c r="P123">
        <f>Tabla4[[#This Row],[COSTO]]/34000</f>
        <v>0.70588235294117652</v>
      </c>
      <c r="Q123">
        <v>44</v>
      </c>
      <c r="R123">
        <f>P123*Q123</f>
        <v>31.058823529411768</v>
      </c>
    </row>
    <row r="124" spans="4:18" x14ac:dyDescent="0.2">
      <c r="D124" s="1" t="s">
        <v>634</v>
      </c>
      <c r="E124" s="1" t="s">
        <v>635</v>
      </c>
      <c r="F124" t="s">
        <v>131</v>
      </c>
      <c r="G124" s="2"/>
      <c r="H124">
        <v>11840</v>
      </c>
      <c r="I124" s="8">
        <f>ROUND(Tabla4[[#This Row],[COSTO]]/0.7,0)</f>
        <v>16914</v>
      </c>
      <c r="J124" s="3">
        <f>ROUND(Tabla4[[#This Row],[P GRAN MAYOR]]/0.8,0)</f>
        <v>21143</v>
      </c>
      <c r="K124" s="3">
        <f>ROUND(Tabla4[[#This Row],[P POR MAYOR]]/(1-0.375),0)</f>
        <v>33829</v>
      </c>
      <c r="O124" t="s">
        <v>635</v>
      </c>
      <c r="P124">
        <f>Tabla4[[#This Row],[COSTO]]/34000</f>
        <v>0.34823529411764703</v>
      </c>
      <c r="Q124">
        <v>45</v>
      </c>
      <c r="R124">
        <f>P124*Q124</f>
        <v>15.670588235294117</v>
      </c>
    </row>
    <row r="125" spans="4:18" ht="17" x14ac:dyDescent="0.2">
      <c r="D125" s="1" t="s">
        <v>1190</v>
      </c>
      <c r="E125" s="1" t="s">
        <v>1191</v>
      </c>
      <c r="F125" t="s">
        <v>131</v>
      </c>
      <c r="G125" s="2"/>
      <c r="H125" s="2" t="s">
        <v>1192</v>
      </c>
      <c r="I125" s="8">
        <f>ROUND(Tabla4[[#This Row],[COSTO]]/0.7,0)</f>
        <v>19886</v>
      </c>
      <c r="J125" s="3">
        <f>ROUND(Tabla4[[#This Row],[P GRAN MAYOR]]/0.8,0)</f>
        <v>24858</v>
      </c>
      <c r="K125" s="3">
        <f>ROUND(Tabla4[[#This Row],[P POR MAYOR]]/(1-0.375),0)</f>
        <v>39773</v>
      </c>
      <c r="O125" t="s">
        <v>1494</v>
      </c>
      <c r="P125">
        <f>Tabla4[[#This Row],[COSTO]]/34000</f>
        <v>0.40941176470588236</v>
      </c>
      <c r="Q125">
        <v>14</v>
      </c>
      <c r="R125">
        <f>P125*Q125</f>
        <v>5.7317647058823535</v>
      </c>
    </row>
    <row r="126" spans="4:18" ht="17" x14ac:dyDescent="0.2">
      <c r="D126" s="1" t="s">
        <v>1248</v>
      </c>
      <c r="E126" s="1" t="s">
        <v>1244</v>
      </c>
      <c r="F126" t="s">
        <v>132</v>
      </c>
      <c r="G126" s="2" t="s">
        <v>1246</v>
      </c>
      <c r="H126">
        <f>285000*0.9</f>
        <v>256500</v>
      </c>
      <c r="I126" s="8">
        <f>ROUND(Tabla4[[#This Row],[COSTO]]/0.7,0)</f>
        <v>366429</v>
      </c>
      <c r="J126" s="3">
        <f>ROUND(Tabla4[[#This Row],[P GRAN MAYOR]]/0.8,0)</f>
        <v>458036</v>
      </c>
      <c r="K126" s="3">
        <f>ROUND(Tabla4[[#This Row],[P POR MAYOR]]/(1-0.375),0)</f>
        <v>732858</v>
      </c>
    </row>
    <row r="127" spans="4:18" ht="17" x14ac:dyDescent="0.2">
      <c r="D127" s="1" t="s">
        <v>1249</v>
      </c>
      <c r="E127" s="1" t="s">
        <v>1245</v>
      </c>
      <c r="F127" t="s">
        <v>132</v>
      </c>
      <c r="G127" s="2" t="s">
        <v>1247</v>
      </c>
      <c r="H127">
        <f>285000*0.9</f>
        <v>256500</v>
      </c>
      <c r="I127" s="8">
        <f>ROUND(Tabla4[[#This Row],[COSTO]]/0.7,0)</f>
        <v>366429</v>
      </c>
      <c r="J127" s="3">
        <f>ROUND(Tabla4[[#This Row],[P GRAN MAYOR]]/0.8,0)</f>
        <v>458036</v>
      </c>
      <c r="K127" s="3">
        <f>ROUND(Tabla4[[#This Row],[P POR MAYOR]]/(1-0.375),0)</f>
        <v>732858</v>
      </c>
    </row>
    <row r="128" spans="4:18" ht="17" x14ac:dyDescent="0.2">
      <c r="D128" s="1" t="s">
        <v>1250</v>
      </c>
      <c r="E128" s="1" t="s">
        <v>1251</v>
      </c>
      <c r="F128" t="s">
        <v>132</v>
      </c>
      <c r="G128" s="2" t="s">
        <v>1252</v>
      </c>
      <c r="H128">
        <f>195000*0.9</f>
        <v>175500</v>
      </c>
      <c r="I128" s="8">
        <f>ROUND(Tabla4[[#This Row],[COSTO]]/0.7,0)</f>
        <v>250714</v>
      </c>
      <c r="J128" s="3">
        <f>ROUND(Tabla4[[#This Row],[P GRAN MAYOR]]/0.8,0)</f>
        <v>313393</v>
      </c>
      <c r="K128" s="3">
        <f>ROUND(Tabla4[[#This Row],[P POR MAYOR]]/(1-0.375),0)</f>
        <v>501429</v>
      </c>
    </row>
    <row r="129" spans="4:11" ht="17" x14ac:dyDescent="0.2">
      <c r="D129" s="1" t="s">
        <v>1253</v>
      </c>
      <c r="E129" s="1" t="s">
        <v>1254</v>
      </c>
      <c r="F129" t="s">
        <v>132</v>
      </c>
      <c r="G129" s="2" t="s">
        <v>1255</v>
      </c>
      <c r="H129">
        <f>85000*0.9</f>
        <v>76500</v>
      </c>
      <c r="I129" s="8">
        <f>ROUND(Tabla4[[#This Row],[COSTO]]/0.7,0)</f>
        <v>109286</v>
      </c>
      <c r="J129" s="3">
        <f>ROUND(Tabla4[[#This Row],[P GRAN MAYOR]]/0.8,0)</f>
        <v>136608</v>
      </c>
      <c r="K129" s="3">
        <f>ROUND(Tabla4[[#This Row],[P POR MAYOR]]/(1-0.375),0)</f>
        <v>218573</v>
      </c>
    </row>
    <row r="130" spans="4:11" ht="17" x14ac:dyDescent="0.2">
      <c r="D130" s="1" t="s">
        <v>1256</v>
      </c>
      <c r="E130" s="1" t="s">
        <v>1257</v>
      </c>
      <c r="F130" t="s">
        <v>132</v>
      </c>
      <c r="G130" s="2" t="s">
        <v>1258</v>
      </c>
      <c r="H130">
        <f>68000*0.9</f>
        <v>61200</v>
      </c>
      <c r="I130" s="8">
        <f>ROUND(Tabla4[[#This Row],[COSTO]]/0.7,0)</f>
        <v>87429</v>
      </c>
      <c r="J130" s="3">
        <f>ROUND(Tabla4[[#This Row],[P GRAN MAYOR]]/0.8,0)</f>
        <v>109286</v>
      </c>
      <c r="K130" s="3">
        <f>ROUND(Tabla4[[#This Row],[P POR MAYOR]]/(1-0.375),0)</f>
        <v>174858</v>
      </c>
    </row>
    <row r="131" spans="4:11" ht="17" x14ac:dyDescent="0.2">
      <c r="D131" s="1" t="s">
        <v>1261</v>
      </c>
      <c r="E131" s="1" t="s">
        <v>1262</v>
      </c>
      <c r="F131" t="s">
        <v>132</v>
      </c>
      <c r="G131" s="2" t="s">
        <v>1260</v>
      </c>
      <c r="H131">
        <f>130000*0.9</f>
        <v>117000</v>
      </c>
      <c r="I131" s="8">
        <f>ROUND(Tabla4[[#This Row],[COSTO]]/0.7,0)</f>
        <v>167143</v>
      </c>
      <c r="J131" s="3">
        <f>ROUND(Tabla4[[#This Row],[P GRAN MAYOR]]/0.8,0)</f>
        <v>208929</v>
      </c>
      <c r="K131" s="3">
        <f>ROUND(Tabla4[[#This Row],[P POR MAYOR]]/(1-0.375),0)</f>
        <v>334286</v>
      </c>
    </row>
    <row r="132" spans="4:11" x14ac:dyDescent="0.2">
      <c r="D132" s="1" t="s">
        <v>1276</v>
      </c>
      <c r="E132" s="1" t="s">
        <v>1275</v>
      </c>
      <c r="F132" t="s">
        <v>134</v>
      </c>
      <c r="G132" s="2"/>
      <c r="H132">
        <f>95000*0.95</f>
        <v>90250</v>
      </c>
      <c r="I132" s="8">
        <f>ROUND(Tabla4[[#This Row],[COSTO]]/0.7,0)</f>
        <v>128929</v>
      </c>
      <c r="J132" s="3">
        <f>ROUND(Tabla4[[#This Row],[P GRAN MAYOR]]/0.8,0)</f>
        <v>161161</v>
      </c>
      <c r="K132" s="3">
        <f>ROUND(Tabla4[[#This Row],[P POR MAYOR]]/(1-0.375),0)</f>
        <v>257858</v>
      </c>
    </row>
    <row r="133" spans="4:11" ht="17" x14ac:dyDescent="0.2">
      <c r="D133" s="1" t="s">
        <v>1349</v>
      </c>
      <c r="E133" s="1" t="s">
        <v>1350</v>
      </c>
      <c r="F133" t="s">
        <v>132</v>
      </c>
      <c r="G133" s="2" t="s">
        <v>1351</v>
      </c>
      <c r="H133">
        <f>14000*0.85</f>
        <v>11900</v>
      </c>
      <c r="I133" s="8">
        <f>ROUND(Tabla4[[#This Row],[COSTO]]/0.7,0)</f>
        <v>17000</v>
      </c>
      <c r="J133" s="3">
        <f>ROUND(Tabla4[[#This Row],[P GRAN MAYOR]]/0.8,0)</f>
        <v>21250</v>
      </c>
      <c r="K133" s="3">
        <f>ROUND(Tabla4[[#This Row],[P POR MAYOR]]/(1-0.375),0)</f>
        <v>34000</v>
      </c>
    </row>
    <row r="134" spans="4:11" ht="30" x14ac:dyDescent="0.2">
      <c r="D134" s="1" t="s">
        <v>1352</v>
      </c>
      <c r="E134" s="1" t="s">
        <v>1353</v>
      </c>
      <c r="F134" t="s">
        <v>132</v>
      </c>
      <c r="G134" s="2" t="s">
        <v>1354</v>
      </c>
      <c r="H134">
        <f>14000*0.85</f>
        <v>11900</v>
      </c>
      <c r="I134" s="8">
        <f>ROUND(Tabla4[[#This Row],[COSTO]]/0.7,0)</f>
        <v>17000</v>
      </c>
      <c r="J134" s="3">
        <f>ROUND(Tabla4[[#This Row],[P GRAN MAYOR]]/0.8,0)</f>
        <v>21250</v>
      </c>
      <c r="K134" s="3">
        <f>ROUND(Tabla4[[#This Row],[P POR MAYOR]]/(1-0.375),0)</f>
        <v>34000</v>
      </c>
    </row>
    <row r="135" spans="4:11" ht="17" x14ac:dyDescent="0.2">
      <c r="D135" s="1" t="s">
        <v>1357</v>
      </c>
      <c r="E135" s="1" t="s">
        <v>1355</v>
      </c>
      <c r="F135" t="s">
        <v>132</v>
      </c>
      <c r="G135" s="2" t="s">
        <v>1356</v>
      </c>
      <c r="H135">
        <f>10000*0.85</f>
        <v>8500</v>
      </c>
      <c r="I135" s="8">
        <f>ROUND(Tabla4[[#This Row],[COSTO]]/0.7,0)</f>
        <v>12143</v>
      </c>
      <c r="J135" s="3">
        <f>ROUND(Tabla4[[#This Row],[P GRAN MAYOR]]/0.8,0)</f>
        <v>15179</v>
      </c>
      <c r="K135" s="3">
        <f>ROUND(Tabla4[[#This Row],[P POR MAYOR]]/(1-0.375),0)</f>
        <v>24286</v>
      </c>
    </row>
    <row r="136" spans="4:11" ht="17" x14ac:dyDescent="0.2">
      <c r="D136" s="1" t="s">
        <v>1360</v>
      </c>
      <c r="E136" s="1" t="s">
        <v>1358</v>
      </c>
      <c r="F136" t="s">
        <v>132</v>
      </c>
      <c r="G136" s="2" t="s">
        <v>1359</v>
      </c>
      <c r="H136">
        <f>16000*0.85</f>
        <v>13600</v>
      </c>
      <c r="I136" s="8">
        <f>ROUND(Tabla4[[#This Row],[COSTO]]/0.7,0)</f>
        <v>19429</v>
      </c>
      <c r="J136" s="3">
        <f>ROUND(Tabla4[[#This Row],[P GRAN MAYOR]]/0.8,0)</f>
        <v>24286</v>
      </c>
      <c r="K136" s="3">
        <f>ROUND(Tabla4[[#This Row],[P POR MAYOR]]/(1-0.375),0)</f>
        <v>38858</v>
      </c>
    </row>
    <row r="137" spans="4:11" ht="30" x14ac:dyDescent="0.2">
      <c r="D137" s="1" t="s">
        <v>1363</v>
      </c>
      <c r="E137" s="1" t="s">
        <v>1361</v>
      </c>
      <c r="F137" t="s">
        <v>132</v>
      </c>
      <c r="G137" s="2" t="s">
        <v>1362</v>
      </c>
      <c r="H137">
        <f>52000*0.85</f>
        <v>44200</v>
      </c>
      <c r="I137" s="8">
        <f>ROUND(Tabla4[[#This Row],[COSTO]]/0.7,0)</f>
        <v>63143</v>
      </c>
      <c r="J137" s="3">
        <f>ROUND(Tabla4[[#This Row],[P GRAN MAYOR]]/0.8,0)</f>
        <v>78929</v>
      </c>
      <c r="K137" s="3">
        <f>ROUND(Tabla4[[#This Row],[P POR MAYOR]]/(1-0.375),0)</f>
        <v>126286</v>
      </c>
    </row>
    <row r="138" spans="4:11" ht="30" x14ac:dyDescent="0.2">
      <c r="D138" s="1" t="s">
        <v>1366</v>
      </c>
      <c r="E138" s="1" t="s">
        <v>1364</v>
      </c>
      <c r="F138" t="s">
        <v>132</v>
      </c>
      <c r="G138" s="2" t="s">
        <v>1365</v>
      </c>
      <c r="H138">
        <f>142000*0.85</f>
        <v>120700</v>
      </c>
      <c r="I138" s="8">
        <f>ROUND(Tabla4[[#This Row],[COSTO]]/0.7,0)</f>
        <v>172429</v>
      </c>
      <c r="J138" s="3">
        <f>ROUND(Tabla4[[#This Row],[P GRAN MAYOR]]/0.8,0)</f>
        <v>215536</v>
      </c>
      <c r="K138" s="3">
        <f>ROUND(Tabla4[[#This Row],[P POR MAYOR]]/(1-0.375),0)</f>
        <v>344858</v>
      </c>
    </row>
    <row r="139" spans="4:11" ht="17" x14ac:dyDescent="0.2">
      <c r="D139" s="1" t="s">
        <v>1367</v>
      </c>
      <c r="E139" s="1" t="s">
        <v>1368</v>
      </c>
      <c r="F139" t="s">
        <v>132</v>
      </c>
      <c r="G139" s="2" t="s">
        <v>1369</v>
      </c>
      <c r="H139">
        <f>140000*0.85</f>
        <v>119000</v>
      </c>
      <c r="I139" s="8">
        <f>ROUND(Tabla4[[#This Row],[COSTO]]/0.7,0)</f>
        <v>170000</v>
      </c>
      <c r="J139" s="3">
        <f>ROUND(Tabla4[[#This Row],[P GRAN MAYOR]]/0.8,0)</f>
        <v>212500</v>
      </c>
      <c r="K139" s="3">
        <f>ROUND(Tabla4[[#This Row],[P POR MAYOR]]/(1-0.375),0)</f>
        <v>340000</v>
      </c>
    </row>
    <row r="140" spans="4:11" ht="17" x14ac:dyDescent="0.2">
      <c r="D140" s="1" t="s">
        <v>1370</v>
      </c>
      <c r="E140" s="1" t="s">
        <v>1371</v>
      </c>
      <c r="F140" t="s">
        <v>132</v>
      </c>
      <c r="G140" s="2" t="s">
        <v>1372</v>
      </c>
      <c r="H140">
        <f>14000*0.85</f>
        <v>11900</v>
      </c>
      <c r="I140" s="8">
        <f>ROUND(Tabla4[[#This Row],[COSTO]]/0.7,0)</f>
        <v>17000</v>
      </c>
      <c r="J140" s="3">
        <f>ROUND(Tabla4[[#This Row],[P GRAN MAYOR]]/0.8,0)</f>
        <v>21250</v>
      </c>
      <c r="K140" s="3">
        <f>ROUND(Tabla4[[#This Row],[P POR MAYOR]]/(1-0.375),0)</f>
        <v>34000</v>
      </c>
    </row>
    <row r="141" spans="4:11" ht="17" x14ac:dyDescent="0.2">
      <c r="D141" s="1" t="s">
        <v>1375</v>
      </c>
      <c r="E141" s="1" t="s">
        <v>1373</v>
      </c>
      <c r="F141" t="s">
        <v>132</v>
      </c>
      <c r="G141" s="2" t="s">
        <v>1374</v>
      </c>
      <c r="H141">
        <f>17800*0.85</f>
        <v>15130</v>
      </c>
      <c r="I141" s="8">
        <f>ROUND(Tabla4[[#This Row],[COSTO]]/0.7,0)</f>
        <v>21614</v>
      </c>
      <c r="J141" s="3">
        <f>ROUND(Tabla4[[#This Row],[P GRAN MAYOR]]/0.8,0)</f>
        <v>27018</v>
      </c>
      <c r="K141" s="3">
        <f>ROUND(Tabla4[[#This Row],[P POR MAYOR]]/(1-0.375),0)</f>
        <v>43229</v>
      </c>
    </row>
    <row r="142" spans="4:11" ht="17" x14ac:dyDescent="0.2">
      <c r="D142" s="1" t="s">
        <v>1376</v>
      </c>
      <c r="E142" s="1" t="s">
        <v>1377</v>
      </c>
      <c r="F142" t="s">
        <v>132</v>
      </c>
      <c r="G142" s="2" t="s">
        <v>1378</v>
      </c>
      <c r="H142">
        <f>18000*0.85</f>
        <v>15300</v>
      </c>
      <c r="I142" s="8">
        <f>ROUND(Tabla4[[#This Row],[COSTO]]/0.7,0)</f>
        <v>21857</v>
      </c>
      <c r="J142" s="3">
        <f>ROUND(Tabla4[[#This Row],[P GRAN MAYOR]]/0.8,0)</f>
        <v>27321</v>
      </c>
      <c r="K142" s="3">
        <f>ROUND(Tabla4[[#This Row],[P POR MAYOR]]/(1-0.375),0)</f>
        <v>43714</v>
      </c>
    </row>
    <row r="143" spans="4:11" ht="17" x14ac:dyDescent="0.2">
      <c r="D143" s="1" t="s">
        <v>1425</v>
      </c>
      <c r="E143" s="1" t="s">
        <v>1426</v>
      </c>
      <c r="F143" t="s">
        <v>732</v>
      </c>
      <c r="G143" s="2" t="s">
        <v>1424</v>
      </c>
      <c r="H143">
        <v>12600</v>
      </c>
      <c r="I143" s="8">
        <f>ROUND(Tabla4[[#This Row],[COSTO]]/0.7,0)</f>
        <v>18000</v>
      </c>
      <c r="J143" s="3">
        <f>ROUND(Tabla4[[#This Row],[P GRAN MAYOR]]/0.8,0)</f>
        <v>22500</v>
      </c>
      <c r="K143" s="3">
        <f>ROUND(Tabla4[[#This Row],[P POR MAYOR]]/(1-0.375),0)</f>
        <v>36000</v>
      </c>
    </row>
    <row r="144" spans="4:11" ht="17" x14ac:dyDescent="0.2">
      <c r="D144" s="1" t="s">
        <v>1428</v>
      </c>
      <c r="E144" s="1" t="s">
        <v>1429</v>
      </c>
      <c r="F144" t="s">
        <v>732</v>
      </c>
      <c r="G144" s="2" t="s">
        <v>1430</v>
      </c>
      <c r="H144">
        <v>9600</v>
      </c>
      <c r="I144" s="8">
        <f>ROUND(Tabla4[[#This Row],[COSTO]]/0.7,0)</f>
        <v>13714</v>
      </c>
      <c r="J144" s="3">
        <f>ROUND(Tabla4[[#This Row],[P GRAN MAYOR]]/0.8,0)</f>
        <v>17143</v>
      </c>
      <c r="K144" s="3">
        <f>ROUND(Tabla4[[#This Row],[P POR MAYOR]]/(1-0.375),0)</f>
        <v>27429</v>
      </c>
    </row>
    <row r="145" spans="4:18" ht="17" x14ac:dyDescent="0.2">
      <c r="D145" s="1" t="s">
        <v>1551</v>
      </c>
      <c r="E145" s="1" t="s">
        <v>1634</v>
      </c>
      <c r="F145" t="s">
        <v>132</v>
      </c>
      <c r="G145" s="2" t="s">
        <v>1552</v>
      </c>
      <c r="H145">
        <f>22000*0.85</f>
        <v>18700</v>
      </c>
      <c r="I145" s="8">
        <f>ROUND(Tabla4[[#This Row],[COSTO]]/0.7,0)</f>
        <v>26714</v>
      </c>
      <c r="J145" s="3">
        <f>ROUND(Tabla4[[#This Row],[P GRAN MAYOR]]/0.8,0)</f>
        <v>33393</v>
      </c>
      <c r="K145" s="3">
        <f>ROUND(Tabla4[[#This Row],[P POR MAYOR]]/(1-0.375),0)</f>
        <v>53429</v>
      </c>
      <c r="R145">
        <f>SUM(R24:R143)</f>
        <v>145.66647058823528</v>
      </c>
    </row>
    <row r="146" spans="4:18" ht="17" x14ac:dyDescent="0.2">
      <c r="D146" s="1" t="s">
        <v>1555</v>
      </c>
      <c r="E146" s="1" t="s">
        <v>1554</v>
      </c>
      <c r="F146" t="s">
        <v>132</v>
      </c>
      <c r="G146" s="2" t="s">
        <v>1553</v>
      </c>
      <c r="H146">
        <f>52000*0.85</f>
        <v>44200</v>
      </c>
      <c r="I146" s="8">
        <f>ROUND(Tabla4[[#This Row],[COSTO]]/0.7,0)</f>
        <v>63143</v>
      </c>
      <c r="J146" s="3">
        <f>ROUND(Tabla4[[#This Row],[P GRAN MAYOR]]/0.8,0)</f>
        <v>78929</v>
      </c>
      <c r="K146" s="3">
        <f>ROUND(Tabla4[[#This Row],[P POR MAYOR]]/(1-0.375),0)</f>
        <v>126286</v>
      </c>
    </row>
    <row r="147" spans="4:18" ht="17" x14ac:dyDescent="0.2">
      <c r="D147" s="1" t="s">
        <v>1556</v>
      </c>
      <c r="E147" s="1" t="s">
        <v>1557</v>
      </c>
      <c r="F147" t="s">
        <v>132</v>
      </c>
      <c r="G147" s="2" t="s">
        <v>1558</v>
      </c>
      <c r="H147">
        <f>88000*0.85</f>
        <v>74800</v>
      </c>
      <c r="I147" s="8">
        <f>ROUND(Tabla4[[#This Row],[COSTO]]/0.7,0)</f>
        <v>106857</v>
      </c>
      <c r="J147" s="3">
        <f>ROUND(Tabla4[[#This Row],[P GRAN MAYOR]]/0.8,0)</f>
        <v>133571</v>
      </c>
      <c r="K147" s="3">
        <f>ROUND(Tabla4[[#This Row],[P POR MAYOR]]/(1-0.375),0)</f>
        <v>213714</v>
      </c>
    </row>
    <row r="148" spans="4:18" ht="17" x14ac:dyDescent="0.2">
      <c r="D148" s="1" t="s">
        <v>1559</v>
      </c>
      <c r="E148" s="1" t="s">
        <v>1560</v>
      </c>
      <c r="F148" t="s">
        <v>132</v>
      </c>
      <c r="G148" s="2" t="s">
        <v>1561</v>
      </c>
      <c r="H148">
        <f>98000*0.85</f>
        <v>83300</v>
      </c>
      <c r="I148" s="8">
        <f>ROUND(Tabla4[[#This Row],[COSTO]]/0.7,0)</f>
        <v>119000</v>
      </c>
      <c r="J148" s="3">
        <f>ROUND(Tabla4[[#This Row],[P GRAN MAYOR]]/0.8,0)</f>
        <v>148750</v>
      </c>
      <c r="K148" s="3">
        <f>ROUND(Tabla4[[#This Row],[P POR MAYOR]]/(1-0.375),0)</f>
        <v>238000</v>
      </c>
    </row>
    <row r="149" spans="4:18" ht="17" x14ac:dyDescent="0.2">
      <c r="D149" s="1" t="s">
        <v>1564</v>
      </c>
      <c r="E149" s="1" t="s">
        <v>1562</v>
      </c>
      <c r="F149" t="s">
        <v>132</v>
      </c>
      <c r="G149" s="2" t="s">
        <v>1563</v>
      </c>
      <c r="H149">
        <f>18000*0.85</f>
        <v>15300</v>
      </c>
      <c r="I149" s="8">
        <f>ROUND(Tabla4[[#This Row],[COSTO]]/0.7,0)</f>
        <v>21857</v>
      </c>
      <c r="J149" s="3">
        <f>ROUND(Tabla4[[#This Row],[P GRAN MAYOR]]/0.8,0)</f>
        <v>27321</v>
      </c>
      <c r="K149" s="3">
        <f>ROUND(Tabla4[[#This Row],[P POR MAYOR]]/(1-0.375),0)</f>
        <v>43714</v>
      </c>
    </row>
    <row r="150" spans="4:18" ht="17" x14ac:dyDescent="0.2">
      <c r="D150" s="1" t="s">
        <v>1565</v>
      </c>
      <c r="E150" s="1" t="s">
        <v>1566</v>
      </c>
      <c r="F150" t="s">
        <v>132</v>
      </c>
      <c r="G150" s="2" t="s">
        <v>1563</v>
      </c>
      <c r="H150">
        <f>18000*0.85</f>
        <v>15300</v>
      </c>
      <c r="I150" s="8">
        <f>ROUND(Tabla4[[#This Row],[COSTO]]/0.7,0)</f>
        <v>21857</v>
      </c>
      <c r="J150" s="3">
        <f>ROUND(Tabla4[[#This Row],[P GRAN MAYOR]]/0.8,0)</f>
        <v>27321</v>
      </c>
      <c r="K150" s="3">
        <f>ROUND(Tabla4[[#This Row],[P POR MAYOR]]/(1-0.375),0)</f>
        <v>43714</v>
      </c>
    </row>
    <row r="151" spans="4:18" ht="17" x14ac:dyDescent="0.2">
      <c r="D151" s="6" t="s">
        <v>1568</v>
      </c>
      <c r="E151" s="7" t="s">
        <v>1567</v>
      </c>
      <c r="F151" s="18" t="s">
        <v>132</v>
      </c>
      <c r="G151" s="19" t="s">
        <v>1563</v>
      </c>
      <c r="H151" s="18">
        <v>15300</v>
      </c>
      <c r="I151" s="8">
        <f>ROUND(Tabla4[[#This Row],[COSTO]]/0.7,0)</f>
        <v>21857</v>
      </c>
      <c r="J151" s="3">
        <f>ROUND(Tabla4[[#This Row],[P GRAN MAYOR]]/0.8,0)</f>
        <v>27321</v>
      </c>
      <c r="K151" s="3">
        <f>ROUND(Tabla4[[#This Row],[P POR MAYOR]]/(1-0.375),0)</f>
        <v>43714</v>
      </c>
    </row>
    <row r="152" spans="4:18" ht="17" x14ac:dyDescent="0.2">
      <c r="D152" s="6" t="s">
        <v>1569</v>
      </c>
      <c r="E152" s="7" t="s">
        <v>1570</v>
      </c>
      <c r="F152" s="18" t="s">
        <v>132</v>
      </c>
      <c r="G152" s="19" t="s">
        <v>1563</v>
      </c>
      <c r="H152" s="18">
        <v>15300</v>
      </c>
      <c r="I152" s="8">
        <f>ROUND(Tabla4[[#This Row],[COSTO]]/0.7,0)</f>
        <v>21857</v>
      </c>
      <c r="J152" s="3">
        <f>ROUND(Tabla4[[#This Row],[P GRAN MAYOR]]/0.8,0)</f>
        <v>27321</v>
      </c>
      <c r="K152" s="3">
        <f>ROUND(Tabla4[[#This Row],[P POR MAYOR]]/(1-0.375),0)</f>
        <v>43714</v>
      </c>
    </row>
    <row r="153" spans="4:18" ht="17" x14ac:dyDescent="0.2">
      <c r="D153" s="6" t="s">
        <v>1571</v>
      </c>
      <c r="E153" s="7" t="s">
        <v>1572</v>
      </c>
      <c r="F153" s="18" t="s">
        <v>132</v>
      </c>
      <c r="G153" s="19" t="s">
        <v>1563</v>
      </c>
      <c r="H153" s="18">
        <v>15300</v>
      </c>
      <c r="I153" s="8">
        <f>ROUND(Tabla4[[#This Row],[COSTO]]/0.7,0)</f>
        <v>21857</v>
      </c>
      <c r="J153" s="3">
        <f>ROUND(Tabla4[[#This Row],[P GRAN MAYOR]]/0.8,0)</f>
        <v>27321</v>
      </c>
      <c r="K153" s="3">
        <f>ROUND(Tabla4[[#This Row],[P POR MAYOR]]/(1-0.375),0)</f>
        <v>43714</v>
      </c>
    </row>
    <row r="154" spans="4:18" ht="17" x14ac:dyDescent="0.2">
      <c r="D154" s="6" t="s">
        <v>1573</v>
      </c>
      <c r="E154" s="7" t="s">
        <v>1574</v>
      </c>
      <c r="F154" s="18" t="s">
        <v>132</v>
      </c>
      <c r="G154" s="19" t="s">
        <v>1563</v>
      </c>
      <c r="H154" s="18">
        <v>15300</v>
      </c>
      <c r="I154" s="8">
        <f>ROUND(Tabla4[[#This Row],[COSTO]]/0.7,0)</f>
        <v>21857</v>
      </c>
      <c r="J154" s="3">
        <f>ROUND(Tabla4[[#This Row],[P GRAN MAYOR]]/0.8,0)</f>
        <v>27321</v>
      </c>
      <c r="K154" s="3">
        <f>ROUND(Tabla4[[#This Row],[P POR MAYOR]]/(1-0.375),0)</f>
        <v>43714</v>
      </c>
    </row>
    <row r="155" spans="4:18" ht="17" x14ac:dyDescent="0.2">
      <c r="D155" s="1" t="s">
        <v>1576</v>
      </c>
      <c r="E155" s="1" t="s">
        <v>1575</v>
      </c>
      <c r="F155" t="s">
        <v>132</v>
      </c>
      <c r="G155" s="2" t="s">
        <v>1563</v>
      </c>
      <c r="H155">
        <f>18000*0.85</f>
        <v>15300</v>
      </c>
      <c r="I155" s="8">
        <f>ROUND(Tabla4[[#This Row],[COSTO]]/0.7,0)</f>
        <v>21857</v>
      </c>
      <c r="J155" s="3">
        <f>ROUND(Tabla4[[#This Row],[P GRAN MAYOR]]/0.8,0)</f>
        <v>27321</v>
      </c>
      <c r="K155" s="3">
        <f>ROUND(Tabla4[[#This Row],[P POR MAYOR]]/(1-0.375),0)</f>
        <v>43714</v>
      </c>
    </row>
    <row r="156" spans="4:18" ht="17" x14ac:dyDescent="0.2">
      <c r="D156" s="1" t="s">
        <v>1577</v>
      </c>
      <c r="E156" s="1" t="s">
        <v>1578</v>
      </c>
      <c r="F156" t="s">
        <v>132</v>
      </c>
      <c r="G156" s="2" t="s">
        <v>1563</v>
      </c>
      <c r="H156">
        <f>18000*0.85</f>
        <v>15300</v>
      </c>
      <c r="I156" s="8">
        <f>ROUND(Tabla4[[#This Row],[COSTO]]/0.7,0)</f>
        <v>21857</v>
      </c>
      <c r="J156" s="3">
        <f>ROUND(Tabla4[[#This Row],[P GRAN MAYOR]]/0.8,0)</f>
        <v>27321</v>
      </c>
      <c r="K156" s="3">
        <f>ROUND(Tabla4[[#This Row],[P POR MAYOR]]/(1-0.375),0)</f>
        <v>43714</v>
      </c>
    </row>
    <row r="157" spans="4:18" ht="17" x14ac:dyDescent="0.2">
      <c r="D157" s="6" t="s">
        <v>1579</v>
      </c>
      <c r="E157" s="7" t="s">
        <v>1580</v>
      </c>
      <c r="F157" s="18" t="s">
        <v>132</v>
      </c>
      <c r="G157" s="19" t="s">
        <v>1563</v>
      </c>
      <c r="H157" s="18">
        <v>15300</v>
      </c>
      <c r="I157" s="8">
        <f>ROUND(Tabla4[[#This Row],[COSTO]]/0.7,0)</f>
        <v>21857</v>
      </c>
      <c r="J157" s="3">
        <f>ROUND(Tabla4[[#This Row],[P GRAN MAYOR]]/0.8,0)</f>
        <v>27321</v>
      </c>
      <c r="K157" s="3">
        <f>ROUND(Tabla4[[#This Row],[P POR MAYOR]]/(1-0.375),0)</f>
        <v>43714</v>
      </c>
    </row>
    <row r="158" spans="4:18" ht="17" x14ac:dyDescent="0.2">
      <c r="D158" s="6" t="s">
        <v>1582</v>
      </c>
      <c r="E158" s="7" t="s">
        <v>1581</v>
      </c>
      <c r="F158" s="18" t="s">
        <v>132</v>
      </c>
      <c r="G158" s="19" t="s">
        <v>1563</v>
      </c>
      <c r="H158" s="18">
        <v>15300</v>
      </c>
      <c r="I158" s="8">
        <f>ROUND(Tabla4[[#This Row],[COSTO]]/0.7,0)</f>
        <v>21857</v>
      </c>
      <c r="J158" s="3">
        <f>ROUND(Tabla4[[#This Row],[P GRAN MAYOR]]/0.8,0)</f>
        <v>27321</v>
      </c>
      <c r="K158" s="3">
        <f>ROUND(Tabla4[[#This Row],[P POR MAYOR]]/(1-0.375),0)</f>
        <v>43714</v>
      </c>
    </row>
    <row r="159" spans="4:18" ht="17" x14ac:dyDescent="0.2">
      <c r="D159" s="6" t="s">
        <v>1583</v>
      </c>
      <c r="E159" s="7" t="s">
        <v>1584</v>
      </c>
      <c r="F159" s="18" t="s">
        <v>132</v>
      </c>
      <c r="G159" s="19" t="s">
        <v>1563</v>
      </c>
      <c r="H159" s="18">
        <v>15300</v>
      </c>
      <c r="I159" s="8">
        <f>ROUND(Tabla4[[#This Row],[COSTO]]/0.7,0)</f>
        <v>21857</v>
      </c>
      <c r="J159" s="3">
        <f>ROUND(Tabla4[[#This Row],[P GRAN MAYOR]]/0.8,0)</f>
        <v>27321</v>
      </c>
      <c r="K159" s="3">
        <f>ROUND(Tabla4[[#This Row],[P POR MAYOR]]/(1-0.375),0)</f>
        <v>43714</v>
      </c>
    </row>
    <row r="160" spans="4:18" ht="17" x14ac:dyDescent="0.2">
      <c r="D160" s="1" t="s">
        <v>1636</v>
      </c>
      <c r="E160" s="1" t="s">
        <v>1637</v>
      </c>
      <c r="F160" t="s">
        <v>132</v>
      </c>
      <c r="G160" s="2" t="s">
        <v>1638</v>
      </c>
      <c r="H160">
        <f>14000*0.85</f>
        <v>11900</v>
      </c>
      <c r="I160" s="8">
        <f>ROUND(Tabla4[[#This Row],[COSTO]]/0.7,0)</f>
        <v>17000</v>
      </c>
      <c r="J160" s="3">
        <f>ROUND(Tabla4[[#This Row],[P GRAN MAYOR]]/0.8,0)</f>
        <v>21250</v>
      </c>
      <c r="K160" s="3">
        <f>ROUND(Tabla4[[#This Row],[P POR MAYOR]]/(1-0.375),0)</f>
        <v>34000</v>
      </c>
    </row>
    <row r="161" spans="4:11" ht="17" x14ac:dyDescent="0.2">
      <c r="D161" s="1" t="s">
        <v>1641</v>
      </c>
      <c r="E161" s="1" t="s">
        <v>1640</v>
      </c>
      <c r="F161" t="s">
        <v>132</v>
      </c>
      <c r="G161" s="2" t="s">
        <v>1639</v>
      </c>
      <c r="H161">
        <f>14000*0.85</f>
        <v>11900</v>
      </c>
      <c r="I161" s="8">
        <f>ROUND(Tabla4[[#This Row],[COSTO]]/0.7,0)</f>
        <v>17000</v>
      </c>
      <c r="J161" s="3">
        <f>ROUND(Tabla4[[#This Row],[P GRAN MAYOR]]/0.8,0)</f>
        <v>21250</v>
      </c>
      <c r="K161" s="3">
        <f>ROUND(Tabla4[[#This Row],[P POR MAYOR]]/(1-0.375),0)</f>
        <v>34000</v>
      </c>
    </row>
    <row r="162" spans="4:11" ht="30" x14ac:dyDescent="0.2">
      <c r="D162" s="1" t="s">
        <v>1644</v>
      </c>
      <c r="E162" s="1" t="s">
        <v>1643</v>
      </c>
      <c r="F162" t="s">
        <v>132</v>
      </c>
      <c r="G162" s="2" t="s">
        <v>1642</v>
      </c>
      <c r="H162">
        <f>12000*0.85</f>
        <v>10200</v>
      </c>
      <c r="I162" s="8">
        <f>ROUND(Tabla4[[#This Row],[COSTO]]/0.7,0)</f>
        <v>14571</v>
      </c>
      <c r="J162" s="3">
        <f>ROUND(Tabla4[[#This Row],[P GRAN MAYOR]]/0.8,0)</f>
        <v>18214</v>
      </c>
      <c r="K162" s="3">
        <f>ROUND(Tabla4[[#This Row],[P POR MAYOR]]/(1-0.375),0)</f>
        <v>29142</v>
      </c>
    </row>
    <row r="163" spans="4:11" x14ac:dyDescent="0.2">
      <c r="D163" s="1" t="s">
        <v>1676</v>
      </c>
      <c r="E163" s="1" t="s">
        <v>1675</v>
      </c>
      <c r="F163" t="s">
        <v>134</v>
      </c>
      <c r="G163" s="2">
        <v>9131353</v>
      </c>
      <c r="H163">
        <f>112000*0.9</f>
        <v>100800</v>
      </c>
      <c r="I163" s="8">
        <f>ROUND(Tabla4[[#This Row],[COSTO]]/0.7,0)</f>
        <v>144000</v>
      </c>
      <c r="J163" s="3">
        <f>ROUND(Tabla4[[#This Row],[P GRAN MAYOR]]/0.8,0)</f>
        <v>180000</v>
      </c>
      <c r="K163" s="3">
        <f>ROUND(Tabla4[[#This Row],[P POR MAYOR]]/(1-0.375),0)</f>
        <v>288000</v>
      </c>
    </row>
    <row r="164" spans="4:11" x14ac:dyDescent="0.2">
      <c r="D164" s="1" t="s">
        <v>1678</v>
      </c>
      <c r="E164" s="1" t="s">
        <v>1677</v>
      </c>
      <c r="F164" t="s">
        <v>134</v>
      </c>
      <c r="G164" s="2">
        <v>9131353</v>
      </c>
      <c r="H164">
        <f>112000*0.9</f>
        <v>100800</v>
      </c>
      <c r="I164" s="8">
        <f>ROUND(Tabla4[[#This Row],[COSTO]]/0.7,0)</f>
        <v>144000</v>
      </c>
      <c r="J164" s="3">
        <f>ROUND(Tabla4[[#This Row],[P GRAN MAYOR]]/0.8,0)</f>
        <v>180000</v>
      </c>
      <c r="K164" s="3">
        <f>ROUND(Tabla4[[#This Row],[P POR MAYOR]]/(1-0.375),0)</f>
        <v>288000</v>
      </c>
    </row>
    <row r="165" spans="4:11" x14ac:dyDescent="0.2">
      <c r="D165" s="1" t="s">
        <v>1680</v>
      </c>
      <c r="E165" s="1" t="s">
        <v>1679</v>
      </c>
      <c r="F165" t="s">
        <v>134</v>
      </c>
      <c r="G165" s="2">
        <v>9131353</v>
      </c>
      <c r="H165">
        <f>112000*0.9</f>
        <v>100800</v>
      </c>
      <c r="I165" s="8">
        <f>ROUND(Tabla4[[#This Row],[COSTO]]/0.7,0)</f>
        <v>144000</v>
      </c>
      <c r="J165" s="3">
        <f>ROUND(Tabla4[[#This Row],[P GRAN MAYOR]]/0.8,0)</f>
        <v>180000</v>
      </c>
      <c r="K165" s="3">
        <f>ROUND(Tabla4[[#This Row],[P POR MAYOR]]/(1-0.375),0)</f>
        <v>288000</v>
      </c>
    </row>
    <row r="166" spans="4:11" x14ac:dyDescent="0.2">
      <c r="D166" s="1" t="s">
        <v>1682</v>
      </c>
      <c r="E166" s="1" t="s">
        <v>1681</v>
      </c>
      <c r="F166" t="s">
        <v>134</v>
      </c>
      <c r="G166" s="2">
        <v>9131353</v>
      </c>
      <c r="H166">
        <f>112000*0.9</f>
        <v>100800</v>
      </c>
      <c r="I166" s="8">
        <f>ROUND(Tabla4[[#This Row],[COSTO]]/0.7,0)</f>
        <v>144000</v>
      </c>
      <c r="J166" s="3">
        <f>ROUND(Tabla4[[#This Row],[P GRAN MAYOR]]/0.8,0)</f>
        <v>180000</v>
      </c>
      <c r="K166" s="3">
        <f>ROUND(Tabla4[[#This Row],[P POR MAYOR]]/(1-0.375),0)</f>
        <v>288000</v>
      </c>
    </row>
    <row r="167" spans="4:11" x14ac:dyDescent="0.2">
      <c r="D167" s="1" t="s">
        <v>1684</v>
      </c>
      <c r="E167" s="1" t="s">
        <v>1683</v>
      </c>
      <c r="F167" t="s">
        <v>134</v>
      </c>
      <c r="G167" s="2">
        <v>9131353</v>
      </c>
      <c r="H167">
        <f>112000*0.9</f>
        <v>100800</v>
      </c>
      <c r="I167" s="8">
        <f>ROUND(Tabla4[[#This Row],[COSTO]]/0.7,0)</f>
        <v>144000</v>
      </c>
      <c r="J167" s="3">
        <f>ROUND(Tabla4[[#This Row],[P GRAN MAYOR]]/0.8,0)</f>
        <v>180000</v>
      </c>
      <c r="K167" s="3">
        <f>ROUND(Tabla4[[#This Row],[P POR MAYOR]]/(1-0.375),0)</f>
        <v>288000</v>
      </c>
    </row>
    <row r="168" spans="4:11" ht="17" x14ac:dyDescent="0.2">
      <c r="D168" s="1" t="s">
        <v>1687</v>
      </c>
      <c r="E168" s="1" t="s">
        <v>1685</v>
      </c>
      <c r="F168" t="s">
        <v>134</v>
      </c>
      <c r="G168" s="2" t="s">
        <v>1686</v>
      </c>
      <c r="H168">
        <f>93500*0.9</f>
        <v>84150</v>
      </c>
      <c r="I168" s="8">
        <f>ROUND(Tabla4[[#This Row],[COSTO]]/0.7,0)</f>
        <v>120214</v>
      </c>
      <c r="J168" s="3">
        <f>ROUND(Tabla4[[#This Row],[P GRAN MAYOR]]/0.8,0)</f>
        <v>150268</v>
      </c>
      <c r="K168" s="3">
        <f>ROUND(Tabla4[[#This Row],[P POR MAYOR]]/(1-0.375),0)</f>
        <v>240429</v>
      </c>
    </row>
    <row r="169" spans="4:11" ht="17" x14ac:dyDescent="0.2">
      <c r="D169" s="1" t="s">
        <v>1690</v>
      </c>
      <c r="E169" s="1" t="s">
        <v>1691</v>
      </c>
      <c r="F169" t="s">
        <v>134</v>
      </c>
      <c r="G169" s="2" t="s">
        <v>702</v>
      </c>
      <c r="H169">
        <f>105000*0.9</f>
        <v>94500</v>
      </c>
      <c r="I169" s="8">
        <f>ROUND(Tabla4[[#This Row],[COSTO]]/0.7,0)</f>
        <v>135000</v>
      </c>
      <c r="J169" s="3">
        <f>ROUND(Tabla4[[#This Row],[P GRAN MAYOR]]/0.8,0)</f>
        <v>168750</v>
      </c>
      <c r="K169" s="3">
        <f>ROUND(Tabla4[[#This Row],[P POR MAYOR]]/(1-0.375),0)</f>
        <v>270000</v>
      </c>
    </row>
    <row r="170" spans="4:11" x14ac:dyDescent="0.2">
      <c r="D170" s="1" t="s">
        <v>1693</v>
      </c>
      <c r="E170" s="1" t="s">
        <v>1692</v>
      </c>
      <c r="F170" t="s">
        <v>134</v>
      </c>
      <c r="G170" s="2">
        <v>9131342</v>
      </c>
      <c r="H170">
        <f>55500*0.9</f>
        <v>49950</v>
      </c>
      <c r="I170" s="8">
        <f>ROUND(Tabla4[[#This Row],[COSTO]]/0.7,0)</f>
        <v>71357</v>
      </c>
      <c r="J170" s="3">
        <f>ROUND(Tabla4[[#This Row],[P GRAN MAYOR]]/0.8,0)</f>
        <v>89196</v>
      </c>
      <c r="K170" s="3">
        <f>ROUND(Tabla4[[#This Row],[P POR MAYOR]]/(1-0.375),0)</f>
        <v>142714</v>
      </c>
    </row>
    <row r="171" spans="4:11" ht="30" x14ac:dyDescent="0.2">
      <c r="D171" s="1" t="s">
        <v>1696</v>
      </c>
      <c r="E171" s="1" t="s">
        <v>1694</v>
      </c>
      <c r="F171" t="s">
        <v>134</v>
      </c>
      <c r="G171" s="2" t="s">
        <v>1695</v>
      </c>
      <c r="H171">
        <f>65500*0.9</f>
        <v>58950</v>
      </c>
      <c r="I171" s="8">
        <f>ROUND(Tabla4[[#This Row],[COSTO]]/0.7,0)</f>
        <v>84214</v>
      </c>
      <c r="J171" s="3">
        <f>ROUND(Tabla4[[#This Row],[P GRAN MAYOR]]/0.8,0)</f>
        <v>105268</v>
      </c>
      <c r="K171" s="3">
        <f>ROUND(Tabla4[[#This Row],[P POR MAYOR]]/(1-0.375),0)</f>
        <v>168429</v>
      </c>
    </row>
    <row r="172" spans="4:11" ht="17" x14ac:dyDescent="0.2">
      <c r="D172" s="1" t="s">
        <v>1753</v>
      </c>
      <c r="E172" s="1" t="s">
        <v>1751</v>
      </c>
      <c r="F172" t="s">
        <v>732</v>
      </c>
      <c r="G172" s="2" t="s">
        <v>1752</v>
      </c>
      <c r="H172">
        <f>110000*0.6</f>
        <v>66000</v>
      </c>
      <c r="I172" s="8">
        <f>ROUND(Tabla4[[#This Row],[COSTO]]/0.7,0)</f>
        <v>94286</v>
      </c>
      <c r="J172" s="3">
        <f>ROUND(Tabla4[[#This Row],[P GRAN MAYOR]]/0.8,0)</f>
        <v>117858</v>
      </c>
      <c r="K172" s="3">
        <f>ROUND(Tabla4[[#This Row],[P POR MAYOR]]/(1-0.375),0)</f>
        <v>188573</v>
      </c>
    </row>
    <row r="173" spans="4:11" ht="17" x14ac:dyDescent="0.2">
      <c r="D173" s="1" t="s">
        <v>1779</v>
      </c>
      <c r="E173" s="1" t="s">
        <v>1777</v>
      </c>
      <c r="F173" t="s">
        <v>732</v>
      </c>
      <c r="G173" s="2" t="s">
        <v>1778</v>
      </c>
      <c r="H173">
        <f>55000*0.6</f>
        <v>33000</v>
      </c>
      <c r="I173" s="8">
        <f>ROUND(Tabla4[[#This Row],[COSTO]]/0.7,0)</f>
        <v>47143</v>
      </c>
      <c r="J173" s="3">
        <f>ROUND(Tabla4[[#This Row],[P GRAN MAYOR]]/0.8,0)</f>
        <v>58929</v>
      </c>
      <c r="K173" s="3">
        <f>ROUND(Tabla4[[#This Row],[P POR MAYOR]]/(1-0.375),0)</f>
        <v>94286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1A2A-FF5B-434B-AD69-4D21B6DA9C77}">
  <dimension ref="A4:K87"/>
  <sheetViews>
    <sheetView topLeftCell="C1" zoomScale="144" zoomScaleNormal="75" workbookViewId="0">
      <selection activeCell="D87" sqref="D87"/>
    </sheetView>
  </sheetViews>
  <sheetFormatPr baseColWidth="10" defaultRowHeight="16" x14ac:dyDescent="0.2"/>
  <cols>
    <col min="1" max="1" width="32.33203125" customWidth="1"/>
    <col min="4" max="4" width="44.33203125" customWidth="1"/>
    <col min="5" max="5" width="40.1640625" customWidth="1"/>
    <col min="6" max="6" width="13.5" customWidth="1"/>
    <col min="8" max="8" width="14.33203125" style="8" customWidth="1"/>
    <col min="9" max="9" width="26.1640625" style="8" customWidth="1"/>
    <col min="10" max="10" width="17.6640625" style="8" customWidth="1"/>
    <col min="11" max="11" width="16.1640625" style="8" customWidth="1"/>
  </cols>
  <sheetData>
    <row r="4" spans="1:11" x14ac:dyDescent="0.2">
      <c r="I4" s="8">
        <f>(I6-H6)/I6</f>
        <v>0.3</v>
      </c>
      <c r="J4" s="8">
        <f>(J6-H6)/J6</f>
        <v>0.44</v>
      </c>
      <c r="K4" s="8">
        <f>(K6-H6)/K6</f>
        <v>0.65</v>
      </c>
    </row>
    <row r="5" spans="1:11" x14ac:dyDescent="0.2">
      <c r="D5" t="s">
        <v>0</v>
      </c>
      <c r="E5" t="s">
        <v>1</v>
      </c>
      <c r="F5" t="s">
        <v>2</v>
      </c>
      <c r="G5" t="s">
        <v>3</v>
      </c>
      <c r="H5" s="8" t="s">
        <v>4</v>
      </c>
      <c r="I5" s="8" t="s">
        <v>1625</v>
      </c>
      <c r="J5" s="8" t="s">
        <v>1626</v>
      </c>
      <c r="K5" s="8" t="s">
        <v>1627</v>
      </c>
    </row>
    <row r="6" spans="1:11" ht="35" x14ac:dyDescent="0.65">
      <c r="A6" s="10"/>
      <c r="D6" s="1" t="s">
        <v>756</v>
      </c>
      <c r="E6" s="2" t="s">
        <v>757</v>
      </c>
      <c r="F6" t="s">
        <v>132</v>
      </c>
      <c r="G6" s="2" t="s">
        <v>1259</v>
      </c>
      <c r="H6" s="8">
        <f>28000*0.85</f>
        <v>23800</v>
      </c>
      <c r="I6" s="8">
        <f>ROUND(Tabla7[[#This Row],[COSTO]]/0.7,0)</f>
        <v>34000</v>
      </c>
      <c r="J6" s="8">
        <f>ROUND(Tabla7[[#This Row],[P. GRAN MAYOR (30)]]/0.8,0)</f>
        <v>42500</v>
      </c>
      <c r="K6" s="8">
        <f>ROUND(Tabla7[[#This Row],[P POR MAYOR (20)]]/(1-0.375),0)</f>
        <v>68000</v>
      </c>
    </row>
    <row r="7" spans="1:11" ht="35" x14ac:dyDescent="0.65">
      <c r="A7" s="10"/>
      <c r="D7" s="1" t="s">
        <v>746</v>
      </c>
      <c r="E7" s="2" t="s">
        <v>747</v>
      </c>
      <c r="F7" t="s">
        <v>732</v>
      </c>
      <c r="G7" s="2" t="s">
        <v>1665</v>
      </c>
      <c r="H7" s="8">
        <f>45000*0.6</f>
        <v>27000</v>
      </c>
      <c r="I7" s="8">
        <f>ROUND(Tabla7[[#This Row],[COSTO]]/0.7,0)</f>
        <v>38571</v>
      </c>
      <c r="J7" s="8">
        <f>ROUND(Tabla7[[#This Row],[P. GRAN MAYOR (30)]]/0.8,0)</f>
        <v>48214</v>
      </c>
      <c r="K7" s="8">
        <f>ROUND(Tabla7[[#This Row],[P POR MAYOR (20)]]/(1-0.375),0)</f>
        <v>77142</v>
      </c>
    </row>
    <row r="8" spans="1:11" ht="35" x14ac:dyDescent="0.65">
      <c r="A8" s="10"/>
      <c r="D8" s="1" t="s">
        <v>834</v>
      </c>
      <c r="E8" s="2" t="s">
        <v>835</v>
      </c>
      <c r="F8" t="s">
        <v>132</v>
      </c>
      <c r="G8" s="2" t="s">
        <v>875</v>
      </c>
      <c r="H8" s="8">
        <f>28000*0.9</f>
        <v>25200</v>
      </c>
      <c r="I8" s="8">
        <f>ROUND(Tabla7[[#This Row],[COSTO]]/0.7,0)</f>
        <v>36000</v>
      </c>
      <c r="J8" s="8">
        <f>ROUND(Tabla7[[#This Row],[P. GRAN MAYOR (30)]]/0.8,0)</f>
        <v>45000</v>
      </c>
      <c r="K8" s="8">
        <f>ROUND(Tabla7[[#This Row],[P POR MAYOR (20)]]/(1-0.375),0)</f>
        <v>72000</v>
      </c>
    </row>
    <row r="9" spans="1:11" ht="35" x14ac:dyDescent="0.65">
      <c r="A9" s="10"/>
      <c r="D9" s="1" t="s">
        <v>760</v>
      </c>
      <c r="E9" s="2" t="s">
        <v>761</v>
      </c>
      <c r="F9" t="s">
        <v>132</v>
      </c>
      <c r="G9" s="2" t="s">
        <v>851</v>
      </c>
      <c r="H9" s="8">
        <f>29000*0.9</f>
        <v>26100</v>
      </c>
      <c r="I9" s="8">
        <f>ROUND(Tabla7[[#This Row],[COSTO]]/0.7,0)</f>
        <v>37286</v>
      </c>
      <c r="J9" s="8">
        <f>ROUND(Tabla7[[#This Row],[P. GRAN MAYOR (30)]]/0.8,0)</f>
        <v>46608</v>
      </c>
      <c r="K9" s="8">
        <f>ROUND(Tabla7[[#This Row],[P POR MAYOR (20)]]/(1-0.375),0)</f>
        <v>74573</v>
      </c>
    </row>
    <row r="10" spans="1:11" ht="35" x14ac:dyDescent="0.65">
      <c r="A10" s="10"/>
      <c r="D10" s="1" t="s">
        <v>832</v>
      </c>
      <c r="E10" s="2" t="s">
        <v>833</v>
      </c>
      <c r="F10" t="s">
        <v>132</v>
      </c>
      <c r="G10" s="2" t="s">
        <v>874</v>
      </c>
      <c r="H10" s="8">
        <f>34000*0.85</f>
        <v>28900</v>
      </c>
      <c r="I10" s="8">
        <f>ROUND(Tabla7[[#This Row],[COSTO]]/0.7,0)</f>
        <v>41286</v>
      </c>
      <c r="J10" s="8">
        <f>ROUND(Tabla7[[#This Row],[P. GRAN MAYOR (30)]]/0.8,0)</f>
        <v>51608</v>
      </c>
      <c r="K10" s="8">
        <f>ROUND(Tabla7[[#This Row],[P POR MAYOR (20)]]/(1-0.375),0)</f>
        <v>82573</v>
      </c>
    </row>
    <row r="11" spans="1:11" ht="35" x14ac:dyDescent="0.65">
      <c r="A11" s="10"/>
      <c r="D11" s="1" t="s">
        <v>750</v>
      </c>
      <c r="E11" s="2" t="s">
        <v>751</v>
      </c>
      <c r="F11" t="s">
        <v>733</v>
      </c>
      <c r="G11" s="2" t="s">
        <v>847</v>
      </c>
      <c r="H11" s="8">
        <v>29400</v>
      </c>
      <c r="I11" s="8">
        <f>ROUND(Tabla7[[#This Row],[COSTO]]/0.7,0)</f>
        <v>42000</v>
      </c>
      <c r="J11" s="8">
        <f>ROUND(Tabla7[[#This Row],[P. GRAN MAYOR (30)]]/0.8,0)</f>
        <v>52500</v>
      </c>
      <c r="K11" s="8">
        <f>ROUND(Tabla7[[#This Row],[P POR MAYOR (20)]]/(1-0.375),0)</f>
        <v>84000</v>
      </c>
    </row>
    <row r="12" spans="1:11" ht="35" x14ac:dyDescent="0.65">
      <c r="A12" s="10"/>
      <c r="D12" s="1" t="s">
        <v>736</v>
      </c>
      <c r="E12" s="2" t="s">
        <v>737</v>
      </c>
      <c r="F12" t="s">
        <v>132</v>
      </c>
      <c r="G12" s="2" t="s">
        <v>841</v>
      </c>
      <c r="H12" s="8">
        <f>33000*0.9</f>
        <v>29700</v>
      </c>
      <c r="I12" s="8">
        <f>ROUND(Tabla7[[#This Row],[COSTO]]/0.7,0)</f>
        <v>42429</v>
      </c>
      <c r="J12" s="8">
        <f>ROUND(Tabla7[[#This Row],[P. GRAN MAYOR (30)]]/0.8,0)</f>
        <v>53036</v>
      </c>
      <c r="K12" s="8">
        <f>ROUND(Tabla7[[#This Row],[P POR MAYOR (20)]]/(1-0.375),0)</f>
        <v>84858</v>
      </c>
    </row>
    <row r="13" spans="1:11" ht="34" x14ac:dyDescent="0.2">
      <c r="D13" s="1" t="s">
        <v>742</v>
      </c>
      <c r="E13" s="2" t="s">
        <v>743</v>
      </c>
      <c r="F13" t="s">
        <v>132</v>
      </c>
      <c r="G13" s="2" t="s">
        <v>844</v>
      </c>
      <c r="H13" s="8">
        <f>33000*0.9</f>
        <v>29700</v>
      </c>
      <c r="I13" s="8">
        <f>ROUND(Tabla7[[#This Row],[COSTO]]/0.7,0)</f>
        <v>42429</v>
      </c>
      <c r="J13" s="8">
        <f>ROUND(Tabla7[[#This Row],[P. GRAN MAYOR (30)]]/0.8,0)</f>
        <v>53036</v>
      </c>
      <c r="K13" s="8">
        <f>ROUND(Tabla7[[#This Row],[P POR MAYOR (20)]]/(1-0.375),0)</f>
        <v>84858</v>
      </c>
    </row>
    <row r="14" spans="1:11" ht="17" x14ac:dyDescent="0.2">
      <c r="D14" s="1" t="s">
        <v>772</v>
      </c>
      <c r="E14" s="2" t="s">
        <v>773</v>
      </c>
      <c r="F14" t="s">
        <v>132</v>
      </c>
      <c r="G14" s="2" t="s">
        <v>1711</v>
      </c>
      <c r="H14" s="8">
        <f>33000*0.85</f>
        <v>28050</v>
      </c>
      <c r="I14" s="8">
        <f>ROUND(Tabla7[[#This Row],[COSTO]]/0.7,0)</f>
        <v>40071</v>
      </c>
      <c r="J14" s="8">
        <f>ROUND(Tabla7[[#This Row],[P. GRAN MAYOR (30)]]/0.8,0)</f>
        <v>50089</v>
      </c>
      <c r="K14" s="8">
        <f>ROUND(Tabla7[[#This Row],[P POR MAYOR (20)]]/(1-0.375),0)</f>
        <v>80142</v>
      </c>
    </row>
    <row r="15" spans="1:11" ht="34" x14ac:dyDescent="0.2">
      <c r="D15" s="1" t="s">
        <v>838</v>
      </c>
      <c r="E15" s="2" t="s">
        <v>839</v>
      </c>
      <c r="F15" t="s">
        <v>132</v>
      </c>
      <c r="G15" s="2" t="s">
        <v>876</v>
      </c>
      <c r="H15" s="8">
        <f>33000*0.9</f>
        <v>29700</v>
      </c>
      <c r="I15" s="8">
        <f>ROUND(Tabla7[[#This Row],[COSTO]]/0.7,0)</f>
        <v>42429</v>
      </c>
      <c r="J15" s="8">
        <f>ROUND(Tabla7[[#This Row],[P. GRAN MAYOR (30)]]/0.8,0)</f>
        <v>53036</v>
      </c>
      <c r="K15" s="8">
        <f>ROUND(Tabla7[[#This Row],[P POR MAYOR (20)]]/(1-0.375),0)</f>
        <v>84858</v>
      </c>
    </row>
    <row r="16" spans="1:11" ht="34" x14ac:dyDescent="0.2">
      <c r="D16" s="1" t="s">
        <v>1307</v>
      </c>
      <c r="E16" s="2" t="s">
        <v>1302</v>
      </c>
      <c r="F16" t="s">
        <v>132</v>
      </c>
      <c r="G16" s="2" t="s">
        <v>1303</v>
      </c>
      <c r="H16" s="8">
        <f>36000*0.85</f>
        <v>30600</v>
      </c>
      <c r="I16" s="8">
        <f>ROUND(Tabla7[[#This Row],[COSTO]]/0.7,0)</f>
        <v>43714</v>
      </c>
      <c r="J16" s="8">
        <f>ROUND(Tabla7[[#This Row],[P. GRAN MAYOR (30)]]/0.8,0)</f>
        <v>54643</v>
      </c>
      <c r="K16" s="8">
        <f>ROUND(Tabla7[[#This Row],[P POR MAYOR (20)]]/(1-0.375),0)</f>
        <v>87429</v>
      </c>
    </row>
    <row r="17" spans="4:11" ht="17" x14ac:dyDescent="0.2">
      <c r="D17" s="1" t="s">
        <v>829</v>
      </c>
      <c r="E17" s="2" t="s">
        <v>812</v>
      </c>
      <c r="F17" t="s">
        <v>132</v>
      </c>
      <c r="G17" s="2" t="s">
        <v>873</v>
      </c>
      <c r="H17" s="8">
        <f>35000*0.9</f>
        <v>31500</v>
      </c>
      <c r="I17" s="8">
        <f>ROUND(Tabla7[[#This Row],[COSTO]]/0.7,0)</f>
        <v>45000</v>
      </c>
      <c r="J17" s="8">
        <f>ROUND(Tabla7[[#This Row],[P. GRAN MAYOR (30)]]/0.8,0)</f>
        <v>56250</v>
      </c>
      <c r="K17" s="8">
        <f>ROUND(Tabla7[[#This Row],[P POR MAYOR (20)]]/(1-0.375),0)</f>
        <v>90000</v>
      </c>
    </row>
    <row r="18" spans="4:11" ht="34" x14ac:dyDescent="0.2">
      <c r="D18" s="1" t="s">
        <v>836</v>
      </c>
      <c r="E18" s="2" t="s">
        <v>837</v>
      </c>
      <c r="F18" t="s">
        <v>132</v>
      </c>
      <c r="G18" s="2" t="s">
        <v>1528</v>
      </c>
      <c r="H18" s="8">
        <v>27000</v>
      </c>
      <c r="I18" s="8">
        <f>ROUND(Tabla7[[#This Row],[COSTO]]/0.7,0)</f>
        <v>38571</v>
      </c>
      <c r="J18" s="8">
        <f>ROUND(Tabla7[[#This Row],[P. GRAN MAYOR (30)]]/0.8,0)</f>
        <v>48214</v>
      </c>
      <c r="K18" s="8">
        <f>ROUND(Tabla7[[#This Row],[P POR MAYOR (20)]]/(1-0.375),0)</f>
        <v>77142</v>
      </c>
    </row>
    <row r="19" spans="4:11" ht="17" x14ac:dyDescent="0.2">
      <c r="D19" s="1" t="s">
        <v>777</v>
      </c>
      <c r="E19" s="2" t="s">
        <v>778</v>
      </c>
      <c r="F19" t="s">
        <v>132</v>
      </c>
      <c r="G19" s="2" t="s">
        <v>858</v>
      </c>
      <c r="H19" s="8">
        <f>36000*0.9</f>
        <v>32400</v>
      </c>
      <c r="I19" s="8">
        <f>ROUND(Tabla7[[#This Row],[COSTO]]/0.7,0)</f>
        <v>46286</v>
      </c>
      <c r="J19" s="8">
        <f>ROUND(Tabla7[[#This Row],[P. GRAN MAYOR (30)]]/0.8,0)</f>
        <v>57858</v>
      </c>
      <c r="K19" s="8">
        <f>ROUND(Tabla7[[#This Row],[P POR MAYOR (20)]]/(1-0.375),0)</f>
        <v>92573</v>
      </c>
    </row>
    <row r="20" spans="4:11" ht="17" x14ac:dyDescent="0.2">
      <c r="D20" s="1" t="s">
        <v>1272</v>
      </c>
      <c r="E20" s="2" t="s">
        <v>1273</v>
      </c>
      <c r="F20" t="s">
        <v>134</v>
      </c>
      <c r="G20" s="2" t="s">
        <v>1274</v>
      </c>
      <c r="H20" s="8">
        <f>34500*0.95</f>
        <v>32775</v>
      </c>
      <c r="I20" s="8">
        <f>ROUND(Tabla7[[#This Row],[COSTO]]/0.7,0)</f>
        <v>46821</v>
      </c>
      <c r="J20" s="8">
        <f>ROUND(Tabla7[[#This Row],[P. GRAN MAYOR (30)]]/0.8,0)</f>
        <v>58526</v>
      </c>
      <c r="K20" s="8">
        <f>ROUND(Tabla7[[#This Row],[P POR MAYOR (20)]]/(1-0.375),0)</f>
        <v>93642</v>
      </c>
    </row>
    <row r="21" spans="4:11" ht="17" x14ac:dyDescent="0.2">
      <c r="D21" s="1" t="s">
        <v>766</v>
      </c>
      <c r="E21" s="2" t="s">
        <v>767</v>
      </c>
      <c r="F21" t="s">
        <v>132</v>
      </c>
      <c r="G21" s="2" t="s">
        <v>854</v>
      </c>
      <c r="H21" s="8">
        <f>37000*0.9</f>
        <v>33300</v>
      </c>
      <c r="I21" s="8">
        <f>ROUND(Tabla7[[#This Row],[COSTO]]/0.7,0)</f>
        <v>47571</v>
      </c>
      <c r="J21" s="8">
        <f>ROUND(Tabla7[[#This Row],[P. GRAN MAYOR (30)]]/0.8,0)</f>
        <v>59464</v>
      </c>
      <c r="K21" s="8">
        <f>ROUND(Tabla7[[#This Row],[P POR MAYOR (20)]]/(1-0.375),0)</f>
        <v>95142</v>
      </c>
    </row>
    <row r="22" spans="4:11" ht="17" x14ac:dyDescent="0.2">
      <c r="D22" s="1" t="s">
        <v>803</v>
      </c>
      <c r="E22" s="2" t="s">
        <v>804</v>
      </c>
      <c r="F22" t="s">
        <v>732</v>
      </c>
      <c r="G22" s="2" t="s">
        <v>863</v>
      </c>
      <c r="H22" s="8">
        <v>27000</v>
      </c>
      <c r="I22" s="8">
        <f>ROUND(Tabla7[[#This Row],[COSTO]]/0.7,0)</f>
        <v>38571</v>
      </c>
      <c r="J22" s="8">
        <f>ROUND(Tabla7[[#This Row],[P. GRAN MAYOR (30)]]/0.8,0)</f>
        <v>48214</v>
      </c>
      <c r="K22" s="8">
        <f>ROUND(Tabla7[[#This Row],[P POR MAYOR (20)]]/(1-0.375),0)</f>
        <v>77142</v>
      </c>
    </row>
    <row r="23" spans="4:11" ht="34" x14ac:dyDescent="0.2">
      <c r="D23" s="1" t="s">
        <v>779</v>
      </c>
      <c r="E23" s="2" t="s">
        <v>780</v>
      </c>
      <c r="F23" t="s">
        <v>132</v>
      </c>
      <c r="G23" s="2" t="s">
        <v>859</v>
      </c>
      <c r="H23" s="8">
        <f>38000*0.9</f>
        <v>34200</v>
      </c>
      <c r="I23" s="8">
        <f>ROUND(Tabla7[[#This Row],[COSTO]]/0.7,0)</f>
        <v>48857</v>
      </c>
      <c r="J23" s="8">
        <f>ROUND(Tabla7[[#This Row],[P. GRAN MAYOR (30)]]/0.8,0)</f>
        <v>61071</v>
      </c>
      <c r="K23" s="8">
        <f>ROUND(Tabla7[[#This Row],[P POR MAYOR (20)]]/(1-0.375),0)</f>
        <v>97714</v>
      </c>
    </row>
    <row r="24" spans="4:11" ht="17" x14ac:dyDescent="0.2">
      <c r="D24" s="1" t="s">
        <v>795</v>
      </c>
      <c r="E24" s="2" t="s">
        <v>796</v>
      </c>
      <c r="F24" t="s">
        <v>132</v>
      </c>
      <c r="G24" s="2" t="s">
        <v>1300</v>
      </c>
      <c r="H24" s="8">
        <f>42000*0.85</f>
        <v>35700</v>
      </c>
      <c r="I24" s="8">
        <f>ROUND(Tabla7[[#This Row],[COSTO]]/0.7,0)</f>
        <v>51000</v>
      </c>
      <c r="J24" s="8">
        <f>ROUND(Tabla7[[#This Row],[P. GRAN MAYOR (30)]]/0.8,0)</f>
        <v>63750</v>
      </c>
      <c r="K24" s="8">
        <f>ROUND(Tabla7[[#This Row],[P POR MAYOR (20)]]/(1-0.375),0)</f>
        <v>102000</v>
      </c>
    </row>
    <row r="25" spans="4:11" ht="17" x14ac:dyDescent="0.2">
      <c r="D25" s="1" t="s">
        <v>1304</v>
      </c>
      <c r="E25" s="2" t="s">
        <v>1273</v>
      </c>
      <c r="F25" t="s">
        <v>132</v>
      </c>
      <c r="G25" s="2" t="s">
        <v>1301</v>
      </c>
      <c r="H25" s="8">
        <v>29400</v>
      </c>
      <c r="I25" s="8">
        <f>ROUND(Tabla7[[#This Row],[COSTO]]/0.7,0)</f>
        <v>42000</v>
      </c>
      <c r="J25" s="8">
        <f>ROUND(Tabla7[[#This Row],[P. GRAN MAYOR (30)]]/0.8,0)</f>
        <v>52500</v>
      </c>
      <c r="K25" s="8">
        <f>ROUND(Tabla7[[#This Row],[P POR MAYOR (20)]]/(1-0.375),0)</f>
        <v>84000</v>
      </c>
    </row>
    <row r="26" spans="4:11" ht="34" x14ac:dyDescent="0.2">
      <c r="D26" s="1" t="s">
        <v>768</v>
      </c>
      <c r="E26" s="2" t="s">
        <v>769</v>
      </c>
      <c r="F26" t="s">
        <v>132</v>
      </c>
      <c r="G26" s="2" t="s">
        <v>855</v>
      </c>
      <c r="H26" s="8">
        <f>42000*0.9</f>
        <v>37800</v>
      </c>
      <c r="I26" s="8">
        <f>ROUND(Tabla7[[#This Row],[COSTO]]/0.7,0)</f>
        <v>54000</v>
      </c>
      <c r="J26" s="8">
        <f>ROUND(Tabla7[[#This Row],[P. GRAN MAYOR (30)]]/0.8,0)</f>
        <v>67500</v>
      </c>
      <c r="K26" s="8">
        <f>ROUND(Tabla7[[#This Row],[P POR MAYOR (20)]]/(1-0.375),0)</f>
        <v>108000</v>
      </c>
    </row>
    <row r="27" spans="4:11" x14ac:dyDescent="0.2">
      <c r="D27" s="1" t="s">
        <v>830</v>
      </c>
      <c r="E27" s="1" t="s">
        <v>831</v>
      </c>
      <c r="F27" t="s">
        <v>132</v>
      </c>
      <c r="G27" s="1" t="s">
        <v>1329</v>
      </c>
      <c r="H27" s="8">
        <f>46000*0.85</f>
        <v>39100</v>
      </c>
      <c r="I27" s="8">
        <f>ROUND(Tabla7[[#This Row],[COSTO]]/0.7,0)</f>
        <v>55857</v>
      </c>
      <c r="J27" s="8">
        <f>ROUND(Tabla7[[#This Row],[P. GRAN MAYOR (30)]]/0.8,0)</f>
        <v>69821</v>
      </c>
      <c r="K27" s="8">
        <f>ROUND(Tabla7[[#This Row],[P POR MAYOR (20)]]/(1-0.375),0)</f>
        <v>111714</v>
      </c>
    </row>
    <row r="28" spans="4:11" ht="34" x14ac:dyDescent="0.2">
      <c r="D28" s="1" t="s">
        <v>797</v>
      </c>
      <c r="E28" s="2" t="s">
        <v>798</v>
      </c>
      <c r="F28" t="s">
        <v>132</v>
      </c>
      <c r="G28" s="2" t="s">
        <v>1298</v>
      </c>
      <c r="H28" s="8">
        <f>48000*0.85</f>
        <v>40800</v>
      </c>
      <c r="I28" s="8">
        <f>ROUND(Tabla7[[#This Row],[COSTO]]/0.7,0)</f>
        <v>58286</v>
      </c>
      <c r="J28" s="8">
        <f>ROUND(Tabla7[[#This Row],[P. GRAN MAYOR (30)]]/0.8,0)</f>
        <v>72858</v>
      </c>
      <c r="K28" s="8">
        <f>ROUND(Tabla7[[#This Row],[P POR MAYOR (20)]]/(1-0.375),0)</f>
        <v>116573</v>
      </c>
    </row>
    <row r="29" spans="4:11" ht="17" x14ac:dyDescent="0.2">
      <c r="D29" s="1" t="s">
        <v>791</v>
      </c>
      <c r="E29" s="2" t="s">
        <v>792</v>
      </c>
      <c r="F29" t="s">
        <v>132</v>
      </c>
      <c r="G29" s="2"/>
      <c r="H29" s="8">
        <f>52000*0.9</f>
        <v>46800</v>
      </c>
      <c r="I29" s="8">
        <f>ROUND(Tabla7[[#This Row],[COSTO]]/0.7,0)</f>
        <v>66857</v>
      </c>
      <c r="J29" s="8">
        <f>ROUND(Tabla7[[#This Row],[P. GRAN MAYOR (30)]]/0.8,0)</f>
        <v>83571</v>
      </c>
      <c r="K29" s="8">
        <f>ROUND(Tabla7[[#This Row],[P POR MAYOR (20)]]/(1-0.375),0)</f>
        <v>133714</v>
      </c>
    </row>
    <row r="30" spans="4:11" ht="34" x14ac:dyDescent="0.2">
      <c r="D30" s="1" t="s">
        <v>1405</v>
      </c>
      <c r="E30" s="2" t="s">
        <v>1406</v>
      </c>
      <c r="F30" t="s">
        <v>732</v>
      </c>
      <c r="G30" s="2" t="s">
        <v>1407</v>
      </c>
      <c r="H30" s="8">
        <v>48000</v>
      </c>
      <c r="I30" s="8">
        <f>ROUND(Tabla7[[#This Row],[COSTO]]/0.7,0)</f>
        <v>68571</v>
      </c>
      <c r="J30" s="8">
        <f>ROUND(Tabla7[[#This Row],[P. GRAN MAYOR (30)]]/0.8,0)</f>
        <v>85714</v>
      </c>
      <c r="K30" s="8">
        <f>ROUND(Tabla7[[#This Row],[P POR MAYOR (20)]]/(1-0.375),0)</f>
        <v>137142</v>
      </c>
    </row>
    <row r="31" spans="4:11" ht="34" x14ac:dyDescent="0.2">
      <c r="D31" s="1" t="s">
        <v>801</v>
      </c>
      <c r="E31" s="2" t="s">
        <v>802</v>
      </c>
      <c r="F31" t="s">
        <v>732</v>
      </c>
      <c r="G31" s="2" t="s">
        <v>862</v>
      </c>
      <c r="H31" s="8">
        <v>48750</v>
      </c>
      <c r="I31" s="8">
        <f>ROUND(Tabla7[[#This Row],[COSTO]]/0.7,0)</f>
        <v>69643</v>
      </c>
      <c r="J31" s="8">
        <f>ROUND(Tabla7[[#This Row],[P. GRAN MAYOR (30)]]/0.8,0)</f>
        <v>87054</v>
      </c>
      <c r="K31" s="8">
        <f>ROUND(Tabla7[[#This Row],[P POR MAYOR (20)]]/(1-0.375),0)</f>
        <v>139286</v>
      </c>
    </row>
    <row r="32" spans="4:11" ht="34" x14ac:dyDescent="0.2">
      <c r="D32" s="1" t="s">
        <v>799</v>
      </c>
      <c r="E32" s="2" t="s">
        <v>800</v>
      </c>
      <c r="F32" t="s">
        <v>132</v>
      </c>
      <c r="G32" s="2" t="s">
        <v>861</v>
      </c>
      <c r="H32" s="8">
        <f>58000*0.9</f>
        <v>52200</v>
      </c>
      <c r="I32" s="8">
        <f>ROUND(Tabla7[[#This Row],[COSTO]]/0.7,0)</f>
        <v>74571</v>
      </c>
      <c r="J32" s="8">
        <f>ROUND(Tabla7[[#This Row],[P. GRAN MAYOR (30)]]/0.8,0)</f>
        <v>93214</v>
      </c>
      <c r="K32" s="8">
        <f>ROUND(Tabla7[[#This Row],[P POR MAYOR (20)]]/(1-0.375),0)</f>
        <v>149142</v>
      </c>
    </row>
    <row r="33" spans="4:11" ht="34" x14ac:dyDescent="0.2">
      <c r="D33" s="1" t="s">
        <v>785</v>
      </c>
      <c r="E33" s="2" t="s">
        <v>786</v>
      </c>
      <c r="F33" t="s">
        <v>134</v>
      </c>
      <c r="G33" s="2" t="s">
        <v>882</v>
      </c>
      <c r="H33" s="8">
        <f>59500*0.95</f>
        <v>56525</v>
      </c>
      <c r="I33" s="8">
        <f>ROUND(Tabla7[[#This Row],[COSTO]]/0.7,0)</f>
        <v>80750</v>
      </c>
      <c r="J33" s="8">
        <f>ROUND(Tabla7[[#This Row],[P. GRAN MAYOR (30)]]/0.8,0)</f>
        <v>100938</v>
      </c>
      <c r="K33" s="8">
        <f>ROUND(Tabla7[[#This Row],[P POR MAYOR (20)]]/(1-0.375),0)</f>
        <v>161501</v>
      </c>
    </row>
    <row r="34" spans="4:11" ht="34" x14ac:dyDescent="0.2">
      <c r="D34" s="1" t="s">
        <v>1263</v>
      </c>
      <c r="E34" s="2" t="s">
        <v>1268</v>
      </c>
      <c r="F34" t="s">
        <v>134</v>
      </c>
      <c r="G34" s="2" t="s">
        <v>1266</v>
      </c>
      <c r="H34" s="8">
        <f>65500*0.95</f>
        <v>62225</v>
      </c>
      <c r="I34" s="8">
        <f>ROUND(Tabla7[[#This Row],[COSTO]]/0.7,0)</f>
        <v>88893</v>
      </c>
      <c r="J34" s="8">
        <f>ROUND(Tabla7[[#This Row],[P. GRAN MAYOR (30)]]/0.8,0)</f>
        <v>111116</v>
      </c>
      <c r="K34" s="8">
        <f>ROUND(Tabla7[[#This Row],[P POR MAYOR (20)]]/(1-0.375),0)</f>
        <v>177786</v>
      </c>
    </row>
    <row r="35" spans="4:11" ht="34" x14ac:dyDescent="0.2">
      <c r="D35" s="1" t="s">
        <v>805</v>
      </c>
      <c r="E35" s="2" t="s">
        <v>806</v>
      </c>
      <c r="F35" t="s">
        <v>732</v>
      </c>
      <c r="G35" s="2" t="s">
        <v>864</v>
      </c>
      <c r="H35" s="8">
        <v>65000</v>
      </c>
      <c r="I35" s="8">
        <f>ROUND(Tabla7[[#This Row],[COSTO]]/0.7,0)</f>
        <v>92857</v>
      </c>
      <c r="J35" s="8">
        <f>ROUND(Tabla7[[#This Row],[P. GRAN MAYOR (30)]]/0.8,0)</f>
        <v>116071</v>
      </c>
      <c r="K35" s="8">
        <f>ROUND(Tabla7[[#This Row],[P POR MAYOR (20)]]/(1-0.375),0)</f>
        <v>185714</v>
      </c>
    </row>
    <row r="36" spans="4:11" ht="34" x14ac:dyDescent="0.2">
      <c r="D36" s="1" t="s">
        <v>1264</v>
      </c>
      <c r="E36" s="2" t="s">
        <v>1265</v>
      </c>
      <c r="F36" t="s">
        <v>134</v>
      </c>
      <c r="G36" s="2" t="s">
        <v>1267</v>
      </c>
      <c r="H36" s="8">
        <f>68500*0.95</f>
        <v>65075</v>
      </c>
      <c r="I36" s="8">
        <f>ROUND(Tabla7[[#This Row],[COSTO]]/0.7,0)</f>
        <v>92964</v>
      </c>
      <c r="J36" s="8">
        <f>ROUND(Tabla7[[#This Row],[P. GRAN MAYOR (30)]]/0.8,0)</f>
        <v>116205</v>
      </c>
      <c r="K36" s="8">
        <f>ROUND(Tabla7[[#This Row],[P POR MAYOR (20)]]/(1-0.375),0)</f>
        <v>185928</v>
      </c>
    </row>
    <row r="37" spans="4:11" ht="34" x14ac:dyDescent="0.2">
      <c r="D37" s="1" t="s">
        <v>1411</v>
      </c>
      <c r="E37" s="2" t="s">
        <v>1412</v>
      </c>
      <c r="F37" t="s">
        <v>732</v>
      </c>
      <c r="G37" s="2" t="s">
        <v>1413</v>
      </c>
      <c r="H37" s="8">
        <v>65400</v>
      </c>
      <c r="I37" s="8">
        <f>ROUND(Tabla7[[#This Row],[COSTO]]/0.7,0)</f>
        <v>93429</v>
      </c>
      <c r="J37" s="8">
        <f>ROUND(Tabla7[[#This Row],[P. GRAN MAYOR (30)]]/0.8,0)</f>
        <v>116786</v>
      </c>
      <c r="K37" s="8">
        <f>ROUND(Tabla7[[#This Row],[P POR MAYOR (20)]]/(1-0.375),0)</f>
        <v>186858</v>
      </c>
    </row>
    <row r="38" spans="4:11" ht="17" x14ac:dyDescent="0.2">
      <c r="D38" s="1" t="s">
        <v>789</v>
      </c>
      <c r="E38" s="2" t="s">
        <v>790</v>
      </c>
      <c r="F38" t="s">
        <v>134</v>
      </c>
      <c r="G38" s="2" t="s">
        <v>884</v>
      </c>
      <c r="H38" s="8">
        <f>69500*0.95</f>
        <v>66025</v>
      </c>
      <c r="I38" s="8">
        <f>ROUND(Tabla7[[#This Row],[COSTO]]/0.7,0)</f>
        <v>94321</v>
      </c>
      <c r="J38" s="8">
        <f>ROUND(Tabla7[[#This Row],[P. GRAN MAYOR (30)]]/0.8,0)</f>
        <v>117901</v>
      </c>
      <c r="K38" s="8">
        <f>ROUND(Tabla7[[#This Row],[P POR MAYOR (20)]]/(1-0.375),0)</f>
        <v>188642</v>
      </c>
    </row>
    <row r="39" spans="4:11" ht="17" x14ac:dyDescent="0.2">
      <c r="D39" s="1" t="s">
        <v>781</v>
      </c>
      <c r="E39" s="2" t="s">
        <v>782</v>
      </c>
      <c r="F39" t="s">
        <v>132</v>
      </c>
      <c r="G39" s="2" t="s">
        <v>1529</v>
      </c>
      <c r="H39" s="8">
        <f>78000*0.85</f>
        <v>66300</v>
      </c>
      <c r="I39" s="8">
        <f>ROUND(Tabla7[[#This Row],[COSTO]]/0.7,0)</f>
        <v>94714</v>
      </c>
      <c r="J39" s="8">
        <f>ROUND(Tabla7[[#This Row],[P. GRAN MAYOR (30)]]/0.8,0)</f>
        <v>118393</v>
      </c>
      <c r="K39" s="8">
        <f>ROUND(Tabla7[[#This Row],[P POR MAYOR (20)]]/(1-0.375),0)</f>
        <v>189429</v>
      </c>
    </row>
    <row r="40" spans="4:11" ht="17" x14ac:dyDescent="0.2">
      <c r="D40" s="1" t="s">
        <v>734</v>
      </c>
      <c r="E40" s="2" t="s">
        <v>735</v>
      </c>
      <c r="F40" t="s">
        <v>877</v>
      </c>
      <c r="G40" s="2" t="s">
        <v>840</v>
      </c>
      <c r="H40" s="8">
        <v>70000</v>
      </c>
      <c r="I40" s="8">
        <f>ROUND(Tabla7[[#This Row],[COSTO]]/0.7,0)</f>
        <v>100000</v>
      </c>
      <c r="J40" s="8">
        <f>ROUND(Tabla7[[#This Row],[P. GRAN MAYOR (30)]]/0.8,0)</f>
        <v>125000</v>
      </c>
      <c r="K40" s="8">
        <f>ROUND(Tabla7[[#This Row],[P POR MAYOR (20)]]/(1-0.375),0)</f>
        <v>200000</v>
      </c>
    </row>
    <row r="41" spans="4:11" ht="34" x14ac:dyDescent="0.2">
      <c r="D41" s="1" t="s">
        <v>819</v>
      </c>
      <c r="E41" s="2" t="s">
        <v>820</v>
      </c>
      <c r="F41" t="s">
        <v>132</v>
      </c>
      <c r="G41" s="2" t="s">
        <v>868</v>
      </c>
      <c r="H41" s="8">
        <f>81000*0.9</f>
        <v>72900</v>
      </c>
      <c r="I41" s="8">
        <f>ROUND(Tabla7[[#This Row],[COSTO]]/0.7,0)</f>
        <v>104143</v>
      </c>
      <c r="J41" s="8">
        <f>ROUND(Tabla7[[#This Row],[P. GRAN MAYOR (30)]]/0.8,0)</f>
        <v>130179</v>
      </c>
      <c r="K41" s="8">
        <f>ROUND(Tabla7[[#This Row],[P POR MAYOR (20)]]/(1-0.375),0)</f>
        <v>208286</v>
      </c>
    </row>
    <row r="42" spans="4:11" ht="34" x14ac:dyDescent="0.2">
      <c r="D42" s="1" t="s">
        <v>787</v>
      </c>
      <c r="E42" s="2" t="s">
        <v>788</v>
      </c>
      <c r="F42" t="s">
        <v>134</v>
      </c>
      <c r="G42" s="2" t="s">
        <v>883</v>
      </c>
      <c r="H42" s="8">
        <f>79500*0.95</f>
        <v>75525</v>
      </c>
      <c r="I42" s="8">
        <f>ROUND(Tabla7[[#This Row],[COSTO]]/0.7,0)</f>
        <v>107893</v>
      </c>
      <c r="J42" s="8">
        <f>ROUND(Tabla7[[#This Row],[P. GRAN MAYOR (30)]]/0.8,0)</f>
        <v>134866</v>
      </c>
      <c r="K42" s="8">
        <f>ROUND(Tabla7[[#This Row],[P POR MAYOR (20)]]/(1-0.375),0)</f>
        <v>215786</v>
      </c>
    </row>
    <row r="43" spans="4:11" ht="17" x14ac:dyDescent="0.2">
      <c r="D43" s="1" t="s">
        <v>811</v>
      </c>
      <c r="E43" s="2" t="s">
        <v>812</v>
      </c>
      <c r="F43" t="s">
        <v>134</v>
      </c>
      <c r="G43" s="2" t="s">
        <v>880</v>
      </c>
      <c r="H43" s="8">
        <f>79800*0.95</f>
        <v>75810</v>
      </c>
      <c r="I43" s="8">
        <f>ROUND(Tabla7[[#This Row],[COSTO]]/0.7,0)</f>
        <v>108300</v>
      </c>
      <c r="J43" s="8">
        <f>ROUND(Tabla7[[#This Row],[P. GRAN MAYOR (30)]]/0.8,0)</f>
        <v>135375</v>
      </c>
      <c r="K43" s="8">
        <f>ROUND(Tabla7[[#This Row],[P POR MAYOR (20)]]/(1-0.375),0)</f>
        <v>216600</v>
      </c>
    </row>
    <row r="44" spans="4:11" ht="17" x14ac:dyDescent="0.2">
      <c r="D44" s="1" t="s">
        <v>744</v>
      </c>
      <c r="E44" s="2" t="s">
        <v>745</v>
      </c>
      <c r="F44" t="s">
        <v>877</v>
      </c>
      <c r="G44" s="2" t="s">
        <v>845</v>
      </c>
      <c r="H44" s="8">
        <v>80000</v>
      </c>
      <c r="I44" s="8">
        <f>ROUND(Tabla7[[#This Row],[COSTO]]/0.7,0)</f>
        <v>114286</v>
      </c>
      <c r="J44" s="8">
        <f>ROUND(Tabla7[[#This Row],[P. GRAN MAYOR (30)]]/0.8,0)</f>
        <v>142858</v>
      </c>
      <c r="K44" s="8">
        <f>ROUND(Tabla7[[#This Row],[P POR MAYOR (20)]]/(1-0.375),0)</f>
        <v>228573</v>
      </c>
    </row>
    <row r="45" spans="4:11" ht="34" x14ac:dyDescent="0.2">
      <c r="D45" s="1" t="s">
        <v>764</v>
      </c>
      <c r="E45" s="2" t="s">
        <v>765</v>
      </c>
      <c r="F45" t="s">
        <v>132</v>
      </c>
      <c r="G45" s="2" t="s">
        <v>853</v>
      </c>
      <c r="H45" s="8">
        <f>89000*0.9</f>
        <v>80100</v>
      </c>
      <c r="I45" s="8">
        <f>ROUND(Tabla7[[#This Row],[COSTO]]/0.7,0)</f>
        <v>114429</v>
      </c>
      <c r="J45" s="8">
        <f>ROUND(Tabla7[[#This Row],[P. GRAN MAYOR (30)]]/0.8,0)</f>
        <v>143036</v>
      </c>
      <c r="K45" s="8">
        <f>ROUND(Tabla7[[#This Row],[P POR MAYOR (20)]]/(1-0.375),0)</f>
        <v>228858</v>
      </c>
    </row>
    <row r="46" spans="4:11" ht="34" x14ac:dyDescent="0.2">
      <c r="D46" s="1" t="s">
        <v>1318</v>
      </c>
      <c r="E46" s="2" t="s">
        <v>1319</v>
      </c>
      <c r="F46" t="s">
        <v>132</v>
      </c>
      <c r="G46" s="2" t="s">
        <v>1320</v>
      </c>
      <c r="H46" s="8">
        <f>97000*0.85</f>
        <v>82450</v>
      </c>
      <c r="I46" s="8">
        <f>ROUND(Tabla7[[#This Row],[COSTO]]/0.7,0)</f>
        <v>117786</v>
      </c>
      <c r="J46" s="8">
        <f>ROUND(Tabla7[[#This Row],[P. GRAN MAYOR (30)]]/0.8,0)</f>
        <v>147233</v>
      </c>
      <c r="K46" s="8">
        <f>ROUND(Tabla7[[#This Row],[P POR MAYOR (20)]]/(1-0.375),0)</f>
        <v>235573</v>
      </c>
    </row>
    <row r="47" spans="4:11" ht="34" x14ac:dyDescent="0.2">
      <c r="D47" s="1" t="s">
        <v>1408</v>
      </c>
      <c r="E47" s="2" t="s">
        <v>1409</v>
      </c>
      <c r="F47" t="s">
        <v>732</v>
      </c>
      <c r="G47" s="2" t="s">
        <v>1410</v>
      </c>
      <c r="H47" s="8">
        <v>83100</v>
      </c>
      <c r="I47" s="8">
        <f>ROUND(Tabla7[[#This Row],[COSTO]]/0.7,0)</f>
        <v>118714</v>
      </c>
      <c r="J47" s="8">
        <f>ROUND(Tabla7[[#This Row],[P. GRAN MAYOR (30)]]/0.8,0)</f>
        <v>148393</v>
      </c>
      <c r="K47" s="8">
        <f>ROUND(Tabla7[[#This Row],[P POR MAYOR (20)]]/(1-0.375),0)</f>
        <v>237429</v>
      </c>
    </row>
    <row r="48" spans="4:11" ht="34" x14ac:dyDescent="0.2">
      <c r="D48" s="1" t="s">
        <v>825</v>
      </c>
      <c r="E48" s="2" t="s">
        <v>826</v>
      </c>
      <c r="F48" t="s">
        <v>132</v>
      </c>
      <c r="G48" s="2" t="s">
        <v>871</v>
      </c>
      <c r="H48" s="8">
        <f>98000*0.85</f>
        <v>83300</v>
      </c>
      <c r="I48" s="8">
        <f>ROUND(Tabla7[[#This Row],[COSTO]]/0.7,0)</f>
        <v>119000</v>
      </c>
      <c r="J48" s="8">
        <f>ROUND(Tabla7[[#This Row],[P. GRAN MAYOR (30)]]/0.8,0)</f>
        <v>148750</v>
      </c>
      <c r="K48" s="8">
        <f>ROUND(Tabla7[[#This Row],[P POR MAYOR (20)]]/(1-0.375),0)</f>
        <v>238000</v>
      </c>
    </row>
    <row r="49" spans="4:11" ht="17" x14ac:dyDescent="0.2">
      <c r="D49" s="1" t="s">
        <v>809</v>
      </c>
      <c r="E49" s="2" t="s">
        <v>810</v>
      </c>
      <c r="F49" t="s">
        <v>134</v>
      </c>
      <c r="G49" s="2" t="s">
        <v>879</v>
      </c>
      <c r="H49" s="8">
        <f>105000*0.9</f>
        <v>94500</v>
      </c>
      <c r="I49" s="8">
        <f>ROUND(Tabla7[[#This Row],[COSTO]]/0.7,0)</f>
        <v>135000</v>
      </c>
      <c r="J49" s="8">
        <f>ROUND(Tabla7[[#This Row],[P. GRAN MAYOR (30)]]/0.8,0)</f>
        <v>168750</v>
      </c>
      <c r="K49" s="8">
        <f>ROUND(Tabla7[[#This Row],[P POR MAYOR (20)]]/(1-0.375),0)</f>
        <v>270000</v>
      </c>
    </row>
    <row r="50" spans="4:11" ht="34" x14ac:dyDescent="0.2">
      <c r="D50" s="1" t="s">
        <v>1414</v>
      </c>
      <c r="E50" s="2" t="s">
        <v>1415</v>
      </c>
      <c r="F50" t="s">
        <v>732</v>
      </c>
      <c r="G50" s="2" t="s">
        <v>1416</v>
      </c>
      <c r="H50" s="8">
        <v>84300</v>
      </c>
      <c r="I50" s="8">
        <f>ROUND(Tabla7[[#This Row],[COSTO]]/0.7,0)</f>
        <v>120429</v>
      </c>
      <c r="J50" s="8">
        <f>ROUND(Tabla7[[#This Row],[P. GRAN MAYOR (30)]]/0.8,0)</f>
        <v>150536</v>
      </c>
      <c r="K50" s="8">
        <f>ROUND(Tabla7[[#This Row],[P POR MAYOR (20)]]/(1-0.375),0)</f>
        <v>240858</v>
      </c>
    </row>
    <row r="51" spans="4:11" ht="34" x14ac:dyDescent="0.2">
      <c r="D51" s="1" t="s">
        <v>748</v>
      </c>
      <c r="E51" s="2" t="s">
        <v>749</v>
      </c>
      <c r="F51" t="s">
        <v>878</v>
      </c>
      <c r="G51" s="2" t="s">
        <v>846</v>
      </c>
      <c r="H51" s="8">
        <f>90000</f>
        <v>90000</v>
      </c>
      <c r="I51" s="8">
        <f>ROUND(Tabla7[[#This Row],[COSTO]]/0.7,0)</f>
        <v>128571</v>
      </c>
      <c r="J51" s="8">
        <f>ROUND(Tabla7[[#This Row],[P. GRAN MAYOR (30)]]/0.8,0)</f>
        <v>160714</v>
      </c>
      <c r="K51" s="8">
        <f>ROUND(Tabla7[[#This Row],[P POR MAYOR (20)]]/(1-0.375),0)</f>
        <v>257142</v>
      </c>
    </row>
    <row r="52" spans="4:11" ht="34" x14ac:dyDescent="0.2">
      <c r="D52" s="1" t="s">
        <v>758</v>
      </c>
      <c r="E52" s="2" t="s">
        <v>759</v>
      </c>
      <c r="F52" t="s">
        <v>878</v>
      </c>
      <c r="G52" s="2" t="s">
        <v>850</v>
      </c>
      <c r="H52" s="8">
        <v>95000</v>
      </c>
      <c r="I52" s="8">
        <f>ROUND(Tabla7[[#This Row],[COSTO]]/0.7,0)</f>
        <v>135714</v>
      </c>
      <c r="J52" s="8">
        <f>ROUND(Tabla7[[#This Row],[P. GRAN MAYOR (30)]]/0.8,0)</f>
        <v>169643</v>
      </c>
      <c r="K52" s="8">
        <f>ROUND(Tabla7[[#This Row],[P POR MAYOR (20)]]/(1-0.375),0)</f>
        <v>271429</v>
      </c>
    </row>
    <row r="53" spans="4:11" ht="17" x14ac:dyDescent="0.2">
      <c r="D53" s="1" t="s">
        <v>762</v>
      </c>
      <c r="E53" s="2" t="s">
        <v>763</v>
      </c>
      <c r="F53" t="s">
        <v>132</v>
      </c>
      <c r="G53" s="2" t="s">
        <v>852</v>
      </c>
      <c r="H53" s="8">
        <f>112000*0.9</f>
        <v>100800</v>
      </c>
      <c r="I53" s="8">
        <f>ROUND(Tabla7[[#This Row],[COSTO]]/0.7,0)</f>
        <v>144000</v>
      </c>
      <c r="J53" s="8">
        <f>ROUND(Tabla7[[#This Row],[P. GRAN MAYOR (30)]]/0.8,0)</f>
        <v>180000</v>
      </c>
      <c r="K53" s="8">
        <f>ROUND(Tabla7[[#This Row],[P POR MAYOR (20)]]/(1-0.375),0)</f>
        <v>288000</v>
      </c>
    </row>
    <row r="54" spans="4:11" ht="34" x14ac:dyDescent="0.2">
      <c r="D54" s="1" t="s">
        <v>770</v>
      </c>
      <c r="E54" s="2" t="s">
        <v>771</v>
      </c>
      <c r="F54" t="s">
        <v>132</v>
      </c>
      <c r="G54" s="2" t="s">
        <v>856</v>
      </c>
      <c r="H54" s="8">
        <f>112000*0.9</f>
        <v>100800</v>
      </c>
      <c r="I54" s="8">
        <f>ROUND(Tabla7[[#This Row],[COSTO]]/0.7,0)</f>
        <v>144000</v>
      </c>
      <c r="J54" s="8">
        <f>ROUND(Tabla7[[#This Row],[P. GRAN MAYOR (30)]]/0.8,0)</f>
        <v>180000</v>
      </c>
      <c r="K54" s="8">
        <f>ROUND(Tabla7[[#This Row],[P POR MAYOR (20)]]/(1-0.375),0)</f>
        <v>288000</v>
      </c>
    </row>
    <row r="55" spans="4:11" ht="34" x14ac:dyDescent="0.2">
      <c r="D55" s="1" t="s">
        <v>774</v>
      </c>
      <c r="E55" s="2" t="s">
        <v>775</v>
      </c>
      <c r="F55" t="s">
        <v>732</v>
      </c>
      <c r="G55" s="2" t="s">
        <v>1404</v>
      </c>
      <c r="H55" s="8">
        <v>102000</v>
      </c>
      <c r="I55" s="8">
        <f>ROUND(Tabla7[[#This Row],[COSTO]]/0.7,0)</f>
        <v>145714</v>
      </c>
      <c r="J55" s="8">
        <f>ROUND(Tabla7[[#This Row],[P. GRAN MAYOR (30)]]/0.8,0)</f>
        <v>182143</v>
      </c>
      <c r="K55" s="8">
        <f>ROUND(Tabla7[[#This Row],[P POR MAYOR (20)]]/(1-0.375),0)</f>
        <v>291429</v>
      </c>
    </row>
    <row r="56" spans="4:11" ht="34" x14ac:dyDescent="0.2">
      <c r="D56" s="1" t="s">
        <v>1417</v>
      </c>
      <c r="E56" s="2" t="s">
        <v>1418</v>
      </c>
      <c r="F56" t="s">
        <v>732</v>
      </c>
      <c r="G56" s="2" t="s">
        <v>1419</v>
      </c>
      <c r="H56" s="8">
        <v>102000</v>
      </c>
      <c r="I56" s="8">
        <f>ROUND(Tabla7[[#This Row],[COSTO]]/0.7,0)</f>
        <v>145714</v>
      </c>
      <c r="J56" s="8">
        <f>ROUND(Tabla7[[#This Row],[P. GRAN MAYOR (30)]]/0.8,0)</f>
        <v>182143</v>
      </c>
      <c r="K56" s="8">
        <f>ROUND(Tabla7[[#This Row],[P POR MAYOR (20)]]/(1-0.375),0)</f>
        <v>291429</v>
      </c>
    </row>
    <row r="57" spans="4:11" ht="34" x14ac:dyDescent="0.2">
      <c r="D57" s="1" t="s">
        <v>738</v>
      </c>
      <c r="E57" s="2" t="s">
        <v>739</v>
      </c>
      <c r="F57" t="s">
        <v>132</v>
      </c>
      <c r="G57" s="2" t="s">
        <v>842</v>
      </c>
      <c r="H57" s="8">
        <f>114000*0.9</f>
        <v>102600</v>
      </c>
      <c r="I57" s="8">
        <f>ROUND(Tabla7[[#This Row],[COSTO]]/0.7,0)</f>
        <v>146571</v>
      </c>
      <c r="J57" s="8">
        <f>ROUND(Tabla7[[#This Row],[P. GRAN MAYOR (30)]]/0.8,0)</f>
        <v>183214</v>
      </c>
      <c r="K57" s="8">
        <f>ROUND(Tabla7[[#This Row],[P POR MAYOR (20)]]/(1-0.375),0)</f>
        <v>293142</v>
      </c>
    </row>
    <row r="58" spans="4:11" ht="34" x14ac:dyDescent="0.2">
      <c r="D58" s="1" t="s">
        <v>807</v>
      </c>
      <c r="E58" s="2" t="s">
        <v>808</v>
      </c>
      <c r="F58" t="s">
        <v>732</v>
      </c>
      <c r="G58" s="2" t="s">
        <v>865</v>
      </c>
      <c r="H58" s="8">
        <v>104000</v>
      </c>
      <c r="I58" s="8">
        <f>ROUND(Tabla7[[#This Row],[COSTO]]/0.7,0)</f>
        <v>148571</v>
      </c>
      <c r="J58" s="8">
        <f>ROUND(Tabla7[[#This Row],[P. GRAN MAYOR (30)]]/0.8,0)</f>
        <v>185714</v>
      </c>
      <c r="K58" s="8">
        <f>ROUND(Tabla7[[#This Row],[P POR MAYOR (20)]]/(1-0.375),0)</f>
        <v>297142</v>
      </c>
    </row>
    <row r="59" spans="4:11" ht="34" x14ac:dyDescent="0.2">
      <c r="D59" s="1" t="s">
        <v>740</v>
      </c>
      <c r="E59" s="2" t="s">
        <v>741</v>
      </c>
      <c r="F59" t="s">
        <v>878</v>
      </c>
      <c r="G59" s="2" t="s">
        <v>843</v>
      </c>
      <c r="H59" s="8">
        <f>115000</f>
        <v>115000</v>
      </c>
      <c r="I59" s="8">
        <f>ROUND(Tabla7[[#This Row],[COSTO]]/0.7,0)</f>
        <v>164286</v>
      </c>
      <c r="J59" s="8">
        <f>ROUND(Tabla7[[#This Row],[P. GRAN MAYOR (30)]]/0.8,0)</f>
        <v>205358</v>
      </c>
      <c r="K59" s="8">
        <f>ROUND(Tabla7[[#This Row],[P POR MAYOR (20)]]/(1-0.375),0)</f>
        <v>328573</v>
      </c>
    </row>
    <row r="60" spans="4:11" ht="34" x14ac:dyDescent="0.2">
      <c r="D60" s="1" t="s">
        <v>793</v>
      </c>
      <c r="E60" s="2" t="s">
        <v>794</v>
      </c>
      <c r="F60" t="s">
        <v>132</v>
      </c>
      <c r="G60" s="2" t="s">
        <v>860</v>
      </c>
      <c r="H60" s="8">
        <f>130000*0.9</f>
        <v>117000</v>
      </c>
      <c r="I60" s="8">
        <f>ROUND(Tabla7[[#This Row],[COSTO]]/0.7,0)</f>
        <v>167143</v>
      </c>
      <c r="J60" s="8">
        <f>ROUND(Tabla7[[#This Row],[P. GRAN MAYOR (30)]]/0.8,0)</f>
        <v>208929</v>
      </c>
      <c r="K60" s="8">
        <f>ROUND(Tabla7[[#This Row],[P POR MAYOR (20)]]/(1-0.375),0)</f>
        <v>334286</v>
      </c>
    </row>
    <row r="61" spans="4:11" ht="34" x14ac:dyDescent="0.2">
      <c r="D61" s="1" t="s">
        <v>1308</v>
      </c>
      <c r="E61" s="2" t="s">
        <v>1305</v>
      </c>
      <c r="F61" t="s">
        <v>132</v>
      </c>
      <c r="G61" s="2" t="s">
        <v>1306</v>
      </c>
      <c r="H61" s="8">
        <f>140000*0.85</f>
        <v>119000</v>
      </c>
      <c r="I61" s="8">
        <f>ROUND(Tabla7[[#This Row],[COSTO]]/0.7,0)</f>
        <v>170000</v>
      </c>
      <c r="J61" s="8">
        <f>ROUND(Tabla7[[#This Row],[P. GRAN MAYOR (30)]]/0.8,0)</f>
        <v>212500</v>
      </c>
      <c r="K61" s="8">
        <f>ROUND(Tabla7[[#This Row],[P POR MAYOR (20)]]/(1-0.375),0)</f>
        <v>340000</v>
      </c>
    </row>
    <row r="62" spans="4:11" ht="34" x14ac:dyDescent="0.2">
      <c r="D62" s="1" t="s">
        <v>754</v>
      </c>
      <c r="E62" s="2" t="s">
        <v>755</v>
      </c>
      <c r="F62" t="s">
        <v>878</v>
      </c>
      <c r="G62" s="2" t="s">
        <v>849</v>
      </c>
      <c r="H62" s="8">
        <v>125000</v>
      </c>
      <c r="I62" s="8">
        <f>ROUND(Tabla7[[#This Row],[COSTO]]/0.7,0)</f>
        <v>178571</v>
      </c>
      <c r="J62" s="8">
        <f>ROUND(Tabla7[[#This Row],[P. GRAN MAYOR (30)]]/0.8,0)</f>
        <v>223214</v>
      </c>
      <c r="K62" s="8">
        <f>ROUND(Tabla7[[#This Row],[P POR MAYOR (20)]]/(1-0.375),0)</f>
        <v>357142</v>
      </c>
    </row>
    <row r="63" spans="4:11" ht="34" x14ac:dyDescent="0.2">
      <c r="D63" s="1" t="s">
        <v>821</v>
      </c>
      <c r="E63" s="2" t="s">
        <v>822</v>
      </c>
      <c r="F63" t="s">
        <v>132</v>
      </c>
      <c r="G63" s="2" t="s">
        <v>869</v>
      </c>
      <c r="H63" s="8">
        <f>140000*0.9</f>
        <v>126000</v>
      </c>
      <c r="I63" s="8">
        <f>ROUND(Tabla7[[#This Row],[COSTO]]/0.7,0)</f>
        <v>180000</v>
      </c>
      <c r="J63" s="8">
        <f>ROUND(Tabla7[[#This Row],[P. GRAN MAYOR (30)]]/0.8,0)</f>
        <v>225000</v>
      </c>
      <c r="K63" s="8">
        <f>ROUND(Tabla7[[#This Row],[P POR MAYOR (20)]]/(1-0.375),0)</f>
        <v>360000</v>
      </c>
    </row>
    <row r="64" spans="4:11" ht="34" x14ac:dyDescent="0.2">
      <c r="D64" s="1" t="s">
        <v>1327</v>
      </c>
      <c r="E64" s="2" t="s">
        <v>1328</v>
      </c>
      <c r="F64" t="s">
        <v>132</v>
      </c>
      <c r="G64" s="2" t="s">
        <v>1330</v>
      </c>
      <c r="H64" s="8">
        <f>149500*0.85</f>
        <v>127075</v>
      </c>
      <c r="I64" s="8">
        <f>ROUND(Tabla7[[#This Row],[COSTO]]/0.7,0)</f>
        <v>181536</v>
      </c>
      <c r="J64" s="8">
        <f>ROUND(Tabla7[[#This Row],[P. GRAN MAYOR (30)]]/0.8,0)</f>
        <v>226920</v>
      </c>
      <c r="K64" s="8">
        <f>ROUND(Tabla7[[#This Row],[P POR MAYOR (20)]]/(1-0.375),0)</f>
        <v>363072</v>
      </c>
    </row>
    <row r="65" spans="4:11" ht="34" x14ac:dyDescent="0.2">
      <c r="D65" s="1" t="s">
        <v>1311</v>
      </c>
      <c r="E65" s="2" t="s">
        <v>1309</v>
      </c>
      <c r="F65" t="s">
        <v>132</v>
      </c>
      <c r="G65" s="2" t="s">
        <v>1310</v>
      </c>
      <c r="H65" s="8">
        <f>154000*0.85</f>
        <v>130900</v>
      </c>
      <c r="I65" s="8">
        <f>ROUND(Tabla7[[#This Row],[COSTO]]/0.7,0)</f>
        <v>187000</v>
      </c>
      <c r="J65" s="8">
        <f>ROUND(Tabla7[[#This Row],[P. GRAN MAYOR (30)]]/0.8,0)</f>
        <v>233750</v>
      </c>
      <c r="K65" s="8">
        <f>ROUND(Tabla7[[#This Row],[P POR MAYOR (20)]]/(1-0.375),0)</f>
        <v>374000</v>
      </c>
    </row>
    <row r="66" spans="4:11" ht="34" x14ac:dyDescent="0.2">
      <c r="D66" s="1" t="s">
        <v>752</v>
      </c>
      <c r="E66" s="2" t="s">
        <v>753</v>
      </c>
      <c r="F66" t="s">
        <v>878</v>
      </c>
      <c r="G66" s="2" t="s">
        <v>848</v>
      </c>
      <c r="H66" s="8">
        <v>135000</v>
      </c>
      <c r="I66" s="8">
        <f>ROUND(Tabla7[[#This Row],[COSTO]]/0.7,0)</f>
        <v>192857</v>
      </c>
      <c r="J66" s="8">
        <f>ROUND(Tabla7[[#This Row],[P. GRAN MAYOR (30)]]/0.8,0)</f>
        <v>241071</v>
      </c>
      <c r="K66" s="8">
        <f>ROUND(Tabla7[[#This Row],[P POR MAYOR (20)]]/(1-0.375),0)</f>
        <v>385714</v>
      </c>
    </row>
    <row r="67" spans="4:11" ht="34" x14ac:dyDescent="0.2">
      <c r="D67" s="1" t="s">
        <v>1269</v>
      </c>
      <c r="E67" s="2" t="s">
        <v>1270</v>
      </c>
      <c r="F67" t="s">
        <v>134</v>
      </c>
      <c r="G67" s="2" t="s">
        <v>1271</v>
      </c>
      <c r="H67" s="8">
        <f>143000*0.95</f>
        <v>135850</v>
      </c>
      <c r="I67" s="8">
        <f>ROUND(Tabla7[[#This Row],[COSTO]]/0.7,0)</f>
        <v>194071</v>
      </c>
      <c r="J67" s="8">
        <f>ROUND(Tabla7[[#This Row],[P. GRAN MAYOR (30)]]/0.8,0)</f>
        <v>242589</v>
      </c>
      <c r="K67" s="8">
        <f>ROUND(Tabla7[[#This Row],[P POR MAYOR (20)]]/(1-0.375),0)</f>
        <v>388142</v>
      </c>
    </row>
    <row r="68" spans="4:11" ht="34" x14ac:dyDescent="0.2">
      <c r="D68" s="1" t="s">
        <v>1322</v>
      </c>
      <c r="E68" s="2" t="s">
        <v>1321</v>
      </c>
      <c r="F68" t="s">
        <v>132</v>
      </c>
      <c r="G68" s="2" t="s">
        <v>1323</v>
      </c>
      <c r="H68" s="8">
        <f>168000*0.85</f>
        <v>142800</v>
      </c>
      <c r="I68" s="8">
        <f>ROUND(Tabla7[[#This Row],[COSTO]]/0.7,0)</f>
        <v>204000</v>
      </c>
      <c r="J68" s="8">
        <f>ROUND(Tabla7[[#This Row],[P. GRAN MAYOR (30)]]/0.8,0)</f>
        <v>255000</v>
      </c>
      <c r="K68" s="8">
        <f>ROUND(Tabla7[[#This Row],[P POR MAYOR (20)]]/(1-0.375),0)</f>
        <v>408000</v>
      </c>
    </row>
    <row r="69" spans="4:11" ht="34" x14ac:dyDescent="0.2">
      <c r="D69" s="1" t="s">
        <v>817</v>
      </c>
      <c r="E69" s="2" t="s">
        <v>818</v>
      </c>
      <c r="F69" t="s">
        <v>132</v>
      </c>
      <c r="G69" s="2" t="s">
        <v>867</v>
      </c>
      <c r="H69" s="8">
        <f>160000*0.9</f>
        <v>144000</v>
      </c>
      <c r="I69" s="8">
        <f>ROUND(Tabla7[[#This Row],[COSTO]]/0.7,0)</f>
        <v>205714</v>
      </c>
      <c r="J69" s="8">
        <f>ROUND(Tabla7[[#This Row],[P. GRAN MAYOR (30)]]/0.8,0)</f>
        <v>257143</v>
      </c>
      <c r="K69" s="8">
        <f>ROUND(Tabla7[[#This Row],[P POR MAYOR (20)]]/(1-0.375),0)</f>
        <v>411429</v>
      </c>
    </row>
    <row r="70" spans="4:11" ht="34" x14ac:dyDescent="0.2">
      <c r="D70" s="1" t="s">
        <v>783</v>
      </c>
      <c r="E70" s="2" t="s">
        <v>784</v>
      </c>
      <c r="F70" t="s">
        <v>733</v>
      </c>
      <c r="G70" s="2" t="s">
        <v>885</v>
      </c>
      <c r="H70" s="8">
        <f>154000</f>
        <v>154000</v>
      </c>
      <c r="I70" s="8">
        <f>ROUND(Tabla7[[#This Row],[COSTO]]/0.7,0)</f>
        <v>220000</v>
      </c>
      <c r="J70" s="8">
        <f>ROUND(Tabla7[[#This Row],[P. GRAN MAYOR (30)]]/0.8,0)</f>
        <v>275000</v>
      </c>
      <c r="K70" s="8">
        <f>ROUND(Tabla7[[#This Row],[P POR MAYOR (20)]]/(1-0.375),0)</f>
        <v>440000</v>
      </c>
    </row>
    <row r="71" spans="4:11" ht="34" x14ac:dyDescent="0.2">
      <c r="D71" s="1" t="s">
        <v>1241</v>
      </c>
      <c r="E71" s="2" t="s">
        <v>1243</v>
      </c>
      <c r="F71" t="s">
        <v>733</v>
      </c>
      <c r="G71" s="2" t="s">
        <v>1242</v>
      </c>
      <c r="H71" s="8">
        <v>150000</v>
      </c>
      <c r="I71" s="8">
        <f>ROUND(Tabla7[[#This Row],[COSTO]]/0.7,0)</f>
        <v>214286</v>
      </c>
      <c r="J71" s="8">
        <f>ROUND(Tabla7[[#This Row],[P. GRAN MAYOR (30)]]/0.8,0)</f>
        <v>267858</v>
      </c>
      <c r="K71" s="8">
        <f>ROUND(Tabla7[[#This Row],[P POR MAYOR (20)]]/(1-0.375),0)</f>
        <v>428573</v>
      </c>
    </row>
    <row r="72" spans="4:11" ht="34" x14ac:dyDescent="0.2">
      <c r="D72" s="2" t="s">
        <v>813</v>
      </c>
      <c r="E72" s="2" t="s">
        <v>814</v>
      </c>
      <c r="F72" t="s">
        <v>134</v>
      </c>
      <c r="G72" s="2" t="s">
        <v>881</v>
      </c>
      <c r="H72" s="8">
        <f>179500*0.95</f>
        <v>170525</v>
      </c>
      <c r="I72" s="8">
        <f>ROUND(Tabla7[[#This Row],[COSTO]]/0.7,0)</f>
        <v>243607</v>
      </c>
      <c r="J72" s="8">
        <f>ROUND(Tabla7[[#This Row],[P. GRAN MAYOR (30)]]/0.8,0)</f>
        <v>304509</v>
      </c>
      <c r="K72" s="8">
        <f>ROUND(Tabla7[[#This Row],[P POR MAYOR (20)]]/(1-0.375),0)</f>
        <v>487214</v>
      </c>
    </row>
    <row r="73" spans="4:11" ht="34" x14ac:dyDescent="0.2">
      <c r="D73" s="1" t="s">
        <v>1326</v>
      </c>
      <c r="E73" s="2" t="s">
        <v>1324</v>
      </c>
      <c r="F73" t="s">
        <v>132</v>
      </c>
      <c r="G73" s="2" t="s">
        <v>1325</v>
      </c>
      <c r="H73" s="8">
        <f>240000*0.85</f>
        <v>204000</v>
      </c>
      <c r="I73" s="8">
        <f>ROUND(Tabla7[[#This Row],[COSTO]]/0.7,0)</f>
        <v>291429</v>
      </c>
      <c r="J73" s="8">
        <f>ROUND(Tabla7[[#This Row],[P. GRAN MAYOR (30)]]/0.8,0)</f>
        <v>364286</v>
      </c>
      <c r="K73" s="8">
        <f>ROUND(Tabla7[[#This Row],[P POR MAYOR (20)]]/(1-0.375),0)</f>
        <v>582858</v>
      </c>
    </row>
    <row r="74" spans="4:11" ht="34" x14ac:dyDescent="0.2">
      <c r="D74" s="1" t="s">
        <v>827</v>
      </c>
      <c r="E74" s="2" t="s">
        <v>828</v>
      </c>
      <c r="F74" t="s">
        <v>132</v>
      </c>
      <c r="G74" s="2" t="s">
        <v>872</v>
      </c>
      <c r="H74" s="8">
        <f>248000*0.85</f>
        <v>210800</v>
      </c>
      <c r="I74" s="8">
        <f>ROUND(Tabla7[[#This Row],[COSTO]]/0.7,0)</f>
        <v>301143</v>
      </c>
      <c r="J74" s="8">
        <f>ROUND(Tabla7[[#This Row],[P. GRAN MAYOR (30)]]/0.8,0)</f>
        <v>376429</v>
      </c>
      <c r="K74" s="8">
        <f>ROUND(Tabla7[[#This Row],[P POR MAYOR (20)]]/(1-0.375),0)</f>
        <v>602286</v>
      </c>
    </row>
    <row r="75" spans="4:11" ht="51" x14ac:dyDescent="0.2">
      <c r="D75" s="1" t="s">
        <v>827</v>
      </c>
      <c r="E75" s="2" t="s">
        <v>776</v>
      </c>
      <c r="F75" t="s">
        <v>132</v>
      </c>
      <c r="G75" s="2" t="s">
        <v>857</v>
      </c>
      <c r="H75" s="8">
        <f>240000*0.9</f>
        <v>216000</v>
      </c>
      <c r="I75" s="8">
        <f>ROUND(Tabla7[[#This Row],[COSTO]]/0.7,0)</f>
        <v>308571</v>
      </c>
      <c r="J75" s="8">
        <f>ROUND(Tabla7[[#This Row],[P. GRAN MAYOR (30)]]/0.8,0)</f>
        <v>385714</v>
      </c>
      <c r="K75" s="8">
        <f>ROUND(Tabla7[[#This Row],[P POR MAYOR (20)]]/(1-0.375),0)</f>
        <v>617142</v>
      </c>
    </row>
    <row r="76" spans="4:11" ht="34" x14ac:dyDescent="0.2">
      <c r="D76" s="1" t="s">
        <v>1312</v>
      </c>
      <c r="E76" s="2" t="s">
        <v>1313</v>
      </c>
      <c r="F76" t="s">
        <v>132</v>
      </c>
      <c r="G76" s="2" t="s">
        <v>1315</v>
      </c>
      <c r="H76" s="8">
        <f>275000*0.85</f>
        <v>233750</v>
      </c>
      <c r="I76" s="8">
        <f>ROUND(Tabla7[[#This Row],[COSTO]]/0.7,0)</f>
        <v>333929</v>
      </c>
      <c r="J76" s="8">
        <f>ROUND(Tabla7[[#This Row],[P. GRAN MAYOR (30)]]/0.8,0)</f>
        <v>417411</v>
      </c>
      <c r="K76" s="8">
        <f>ROUND(Tabla7[[#This Row],[P POR MAYOR (20)]]/(1-0.375),0)</f>
        <v>667858</v>
      </c>
    </row>
    <row r="77" spans="4:11" ht="30" x14ac:dyDescent="0.2">
      <c r="D77" s="1" t="s">
        <v>815</v>
      </c>
      <c r="E77" s="1" t="s">
        <v>816</v>
      </c>
      <c r="F77" t="s">
        <v>132</v>
      </c>
      <c r="G77" s="2" t="s">
        <v>866</v>
      </c>
      <c r="H77" s="8">
        <f>271000*0.9</f>
        <v>243900</v>
      </c>
      <c r="I77" s="8">
        <f>ROUND(Tabla7[[#This Row],[COSTO]]/0.7,0)</f>
        <v>348429</v>
      </c>
      <c r="J77" s="8">
        <f>ROUND(Tabla7[[#This Row],[P. GRAN MAYOR (30)]]/0.8,0)</f>
        <v>435536</v>
      </c>
      <c r="K77" s="8">
        <f>ROUND(Tabla7[[#This Row],[P POR MAYOR (20)]]/(1-0.375),0)</f>
        <v>696858</v>
      </c>
    </row>
    <row r="78" spans="4:11" ht="34" x14ac:dyDescent="0.2">
      <c r="D78" s="1" t="s">
        <v>1316</v>
      </c>
      <c r="E78" s="2" t="s">
        <v>1317</v>
      </c>
      <c r="F78" t="s">
        <v>132</v>
      </c>
      <c r="G78" s="2" t="s">
        <v>1314</v>
      </c>
      <c r="H78" s="8">
        <f>310000*0.85</f>
        <v>263500</v>
      </c>
      <c r="I78" s="8">
        <f>ROUND(Tabla7[[#This Row],[COSTO]]/0.7,0)</f>
        <v>376429</v>
      </c>
      <c r="J78" s="8">
        <f>ROUND(Tabla7[[#This Row],[P. GRAN MAYOR (30)]]/0.8,0)</f>
        <v>470536</v>
      </c>
      <c r="K78" s="8">
        <f>ROUND(Tabla7[[#This Row],[P POR MAYOR (20)]]/(1-0.375),0)</f>
        <v>752858</v>
      </c>
    </row>
    <row r="79" spans="4:11" ht="34" x14ac:dyDescent="0.2">
      <c r="D79" s="1" t="s">
        <v>823</v>
      </c>
      <c r="E79" s="2" t="s">
        <v>824</v>
      </c>
      <c r="F79" t="s">
        <v>132</v>
      </c>
      <c r="G79" s="2" t="s">
        <v>870</v>
      </c>
      <c r="H79" s="8">
        <f>480000*0.9</f>
        <v>432000</v>
      </c>
      <c r="I79" s="8">
        <f>ROUND(Tabla7[[#This Row],[COSTO]]/0.7,0)</f>
        <v>617143</v>
      </c>
      <c r="J79" s="8">
        <f>ROUND(Tabla7[[#This Row],[P. GRAN MAYOR (30)]]/0.8,0)</f>
        <v>771429</v>
      </c>
      <c r="K79" s="8">
        <f>ROUND(Tabla7[[#This Row],[P POR MAYOR (20)]]/(1-0.375),0)</f>
        <v>1234286</v>
      </c>
    </row>
    <row r="80" spans="4:11" ht="34" x14ac:dyDescent="0.2">
      <c r="D80" s="1" t="s">
        <v>1522</v>
      </c>
      <c r="E80" s="2" t="s">
        <v>1523</v>
      </c>
      <c r="F80" t="s">
        <v>132</v>
      </c>
      <c r="G80" s="2" t="s">
        <v>1524</v>
      </c>
      <c r="H80" s="8">
        <f>98000*0.85</f>
        <v>83300</v>
      </c>
      <c r="I80" s="8">
        <f>ROUND(Tabla7[[#This Row],[COSTO]]/0.7,0)</f>
        <v>119000</v>
      </c>
      <c r="J80" s="8">
        <f>ROUND(Tabla7[[#This Row],[P. GRAN MAYOR (30)]]/0.8,0)</f>
        <v>148750</v>
      </c>
      <c r="K80" s="8">
        <f>ROUND(Tabla7[[#This Row],[P POR MAYOR (20)]]/(1-0.375),0)</f>
        <v>238000</v>
      </c>
    </row>
    <row r="81" spans="4:11" ht="17" x14ac:dyDescent="0.2">
      <c r="D81" s="1" t="s">
        <v>1526</v>
      </c>
      <c r="E81" s="2" t="s">
        <v>1527</v>
      </c>
      <c r="F81" t="s">
        <v>132</v>
      </c>
      <c r="G81" s="2" t="s">
        <v>1525</v>
      </c>
      <c r="H81" s="8">
        <f>56000*0.85</f>
        <v>47600</v>
      </c>
      <c r="I81" s="8">
        <f>ROUND(Tabla7[[#This Row],[COSTO]]/0.7,0)</f>
        <v>68000</v>
      </c>
      <c r="J81" s="8">
        <f>ROUND(Tabla7[[#This Row],[P. GRAN MAYOR (30)]]/0.8,0)</f>
        <v>85000</v>
      </c>
      <c r="K81" s="8">
        <f>ROUND(Tabla7[[#This Row],[P POR MAYOR (20)]]/(1-0.375),0)</f>
        <v>136000</v>
      </c>
    </row>
    <row r="82" spans="4:11" x14ac:dyDescent="0.2">
      <c r="D82" s="1"/>
      <c r="E82" s="2"/>
      <c r="G82" s="2"/>
      <c r="I82" s="8">
        <f>ROUND(Tabla7[[#This Row],[COSTO]]/0.7,0)</f>
        <v>0</v>
      </c>
      <c r="J82" s="8">
        <f>ROUND(Tabla7[[#This Row],[P. GRAN MAYOR (30)]]/0.8,0)</f>
        <v>0</v>
      </c>
      <c r="K82" s="8">
        <f>ROUND(Tabla7[[#This Row],[P POR MAYOR (20)]]/(1-0.375),0)</f>
        <v>0</v>
      </c>
    </row>
    <row r="83" spans="4:11" ht="17" x14ac:dyDescent="0.2">
      <c r="D83" s="1" t="s">
        <v>1667</v>
      </c>
      <c r="E83" s="2" t="s">
        <v>1666</v>
      </c>
      <c r="F83" t="s">
        <v>732</v>
      </c>
      <c r="G83" s="2" t="s">
        <v>1668</v>
      </c>
      <c r="H83" s="8">
        <v>29400</v>
      </c>
      <c r="I83" s="8">
        <f>ROUND(Tabla7[[#This Row],[COSTO]]/0.7,0)</f>
        <v>42000</v>
      </c>
      <c r="J83" s="8">
        <f>ROUND(Tabla7[[#This Row],[P. GRAN MAYOR (30)]]/0.8,0)</f>
        <v>52500</v>
      </c>
      <c r="K83" s="8">
        <f>ROUND(Tabla7[[#This Row],[P POR MAYOR (20)]]/(1-0.375),0)</f>
        <v>84000</v>
      </c>
    </row>
    <row r="84" spans="4:11" ht="17" x14ac:dyDescent="0.2">
      <c r="D84" s="1" t="s">
        <v>1740</v>
      </c>
      <c r="E84" s="2" t="s">
        <v>1739</v>
      </c>
      <c r="F84" t="s">
        <v>732</v>
      </c>
      <c r="G84" s="2" t="s">
        <v>1741</v>
      </c>
      <c r="H84" s="22">
        <f>490000*0.6</f>
        <v>294000</v>
      </c>
      <c r="I84" s="8">
        <f>ROUND(Tabla7[[#This Row],[COSTO]]/0.7,0)</f>
        <v>420000</v>
      </c>
      <c r="J84" s="8">
        <f>ROUND(Tabla7[[#This Row],[P. GRAN MAYOR (30)]]/0.8,0)</f>
        <v>525000</v>
      </c>
      <c r="K84" s="8">
        <f>ROUND(Tabla7[[#This Row],[P POR MAYOR (20)]]/(1-0.375),0)</f>
        <v>840000</v>
      </c>
    </row>
    <row r="85" spans="4:11" ht="17" x14ac:dyDescent="0.2">
      <c r="D85" s="1" t="s">
        <v>1743</v>
      </c>
      <c r="E85" s="2" t="s">
        <v>1742</v>
      </c>
      <c r="F85" t="s">
        <v>732</v>
      </c>
      <c r="G85" s="2" t="s">
        <v>1744</v>
      </c>
      <c r="H85" s="8">
        <f>250000*0.6</f>
        <v>150000</v>
      </c>
      <c r="I85" s="8">
        <f>ROUND(Tabla7[[#This Row],[COSTO]]/0.7,0)</f>
        <v>214286</v>
      </c>
      <c r="J85" s="8">
        <f>ROUND(Tabla7[[#This Row],[P. GRAN MAYOR (30)]]/0.8,0)</f>
        <v>267858</v>
      </c>
      <c r="K85" s="8">
        <f>ROUND(Tabla7[[#This Row],[P POR MAYOR (20)]]/(1-0.375),0)</f>
        <v>428573</v>
      </c>
    </row>
    <row r="86" spans="4:11" ht="34" x14ac:dyDescent="0.2">
      <c r="D86" s="1" t="s">
        <v>1746</v>
      </c>
      <c r="E86" s="2" t="s">
        <v>1745</v>
      </c>
      <c r="F86" t="s">
        <v>732</v>
      </c>
      <c r="G86" s="2" t="s">
        <v>1747</v>
      </c>
      <c r="H86" s="8">
        <f>490000*0.6</f>
        <v>294000</v>
      </c>
      <c r="I86" s="8">
        <f>ROUND(Tabla7[[#This Row],[COSTO]]/0.7,0)</f>
        <v>420000</v>
      </c>
      <c r="J86" s="8">
        <f>ROUND(Tabla7[[#This Row],[P. GRAN MAYOR (30)]]/0.8,0)</f>
        <v>525000</v>
      </c>
      <c r="K86" s="8">
        <f>ROUND(Tabla7[[#This Row],[P POR MAYOR (20)]]/(1-0.375),0)</f>
        <v>840000</v>
      </c>
    </row>
    <row r="87" spans="4:11" ht="17" x14ac:dyDescent="0.2">
      <c r="D87" s="1" t="s">
        <v>1748</v>
      </c>
      <c r="E87" s="2" t="s">
        <v>1749</v>
      </c>
      <c r="F87" t="s">
        <v>732</v>
      </c>
      <c r="G87" s="2" t="s">
        <v>1750</v>
      </c>
      <c r="H87" s="8">
        <f>350000*0.6</f>
        <v>210000</v>
      </c>
      <c r="I87" s="8">
        <f>ROUND(Tabla7[[#This Row],[COSTO]]/0.7,0)</f>
        <v>300000</v>
      </c>
      <c r="J87" s="8">
        <f>ROUND(Tabla7[[#This Row],[P. GRAN MAYOR (30)]]/0.8,0)</f>
        <v>375000</v>
      </c>
      <c r="K87" s="8">
        <f>ROUND(Tabla7[[#This Row],[P POR MAYOR (20)]]/(1-0.375),0)</f>
        <v>600000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6F28-F8E7-9E49-8274-1B03D8BCFA79}">
  <dimension ref="D4:K62"/>
  <sheetViews>
    <sheetView topLeftCell="B4" zoomScale="113" workbookViewId="0">
      <selection activeCell="E20" sqref="E20"/>
    </sheetView>
  </sheetViews>
  <sheetFormatPr baseColWidth="10" defaultRowHeight="16" x14ac:dyDescent="0.2"/>
  <cols>
    <col min="4" max="4" width="37.6640625" customWidth="1"/>
    <col min="5" max="5" width="28.33203125" customWidth="1"/>
    <col min="6" max="6" width="16.33203125" customWidth="1"/>
    <col min="8" max="9" width="16.1640625" customWidth="1"/>
    <col min="10" max="11" width="17.1640625" customWidth="1"/>
  </cols>
  <sheetData>
    <row r="4" spans="4:11" x14ac:dyDescent="0.2">
      <c r="I4" s="20">
        <f>(I6-H6)/I6</f>
        <v>0.30000583328472263</v>
      </c>
      <c r="J4" s="20">
        <f>(J6-H6)/J6</f>
        <v>0.44000248887782722</v>
      </c>
      <c r="K4" s="20">
        <f>(K6-H6)/K6</f>
        <v>0.65000291664236132</v>
      </c>
    </row>
    <row r="5" spans="4:11" x14ac:dyDescent="0.2"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1630</v>
      </c>
      <c r="J5" t="s">
        <v>5</v>
      </c>
      <c r="K5" t="s">
        <v>1631</v>
      </c>
    </row>
    <row r="6" spans="4:11" ht="17" x14ac:dyDescent="0.2">
      <c r="D6" s="1" t="s">
        <v>886</v>
      </c>
      <c r="E6" s="2" t="s">
        <v>887</v>
      </c>
      <c r="F6" t="s">
        <v>878</v>
      </c>
      <c r="G6" s="2" t="s">
        <v>972</v>
      </c>
      <c r="H6">
        <v>36000</v>
      </c>
      <c r="I6">
        <f>ROUND(Tabla6[[#This Row],[COSTO]]/0.7,0)</f>
        <v>51429</v>
      </c>
      <c r="J6" s="3">
        <f>ROUND(Tabla6[[#This Row],[P GRAN MAYOR]]/0.8,0)</f>
        <v>64286</v>
      </c>
      <c r="K6" s="3">
        <f>ROUND(Tabla6[[#This Row],[P POR MAYOR]]/(1-0.375),0)</f>
        <v>102858</v>
      </c>
    </row>
    <row r="7" spans="4:11" ht="17" x14ac:dyDescent="0.2">
      <c r="D7" s="1" t="s">
        <v>888</v>
      </c>
      <c r="E7" s="2" t="s">
        <v>889</v>
      </c>
      <c r="F7" t="s">
        <v>878</v>
      </c>
      <c r="G7" s="2" t="s">
        <v>973</v>
      </c>
      <c r="H7">
        <v>75000</v>
      </c>
      <c r="I7">
        <f>ROUND(Tabla6[[#This Row],[COSTO]]/0.7,0)</f>
        <v>107143</v>
      </c>
      <c r="J7" s="3">
        <f>ROUND(Tabla6[[#This Row],[P GRAN MAYOR]]/0.8,0)</f>
        <v>133929</v>
      </c>
      <c r="K7" s="3">
        <f>ROUND(Tabla6[[#This Row],[P POR MAYOR]]/(1-0.375),0)</f>
        <v>214286</v>
      </c>
    </row>
    <row r="8" spans="4:11" ht="34" x14ac:dyDescent="0.2">
      <c r="D8" s="1" t="s">
        <v>890</v>
      </c>
      <c r="E8" s="2" t="s">
        <v>891</v>
      </c>
      <c r="F8" t="s">
        <v>878</v>
      </c>
      <c r="G8" s="2" t="s">
        <v>974</v>
      </c>
      <c r="H8">
        <v>85000</v>
      </c>
      <c r="I8">
        <f>ROUND(Tabla6[[#This Row],[COSTO]]/0.7,0)</f>
        <v>121429</v>
      </c>
      <c r="J8" s="3">
        <f>ROUND(Tabla6[[#This Row],[P GRAN MAYOR]]/0.8,0)</f>
        <v>151786</v>
      </c>
      <c r="K8" s="3">
        <f>ROUND(Tabla6[[#This Row],[P POR MAYOR]]/(1-0.375),0)</f>
        <v>242858</v>
      </c>
    </row>
    <row r="9" spans="4:11" ht="17" x14ac:dyDescent="0.2">
      <c r="D9" s="1" t="s">
        <v>892</v>
      </c>
      <c r="E9" s="2" t="s">
        <v>893</v>
      </c>
      <c r="F9" t="s">
        <v>877</v>
      </c>
      <c r="G9" s="2" t="s">
        <v>975</v>
      </c>
      <c r="H9">
        <v>99000</v>
      </c>
      <c r="I9">
        <f>ROUND(Tabla6[[#This Row],[COSTO]]/0.7,0)</f>
        <v>141429</v>
      </c>
      <c r="J9" s="3">
        <f>ROUND(Tabla6[[#This Row],[P GRAN MAYOR]]/0.8,0)</f>
        <v>176786</v>
      </c>
      <c r="K9" s="3">
        <f>ROUND(Tabla6[[#This Row],[P POR MAYOR]]/(1-0.375),0)</f>
        <v>282858</v>
      </c>
    </row>
    <row r="10" spans="4:11" ht="17" x14ac:dyDescent="0.2">
      <c r="D10" s="1" t="s">
        <v>894</v>
      </c>
      <c r="E10" s="2" t="s">
        <v>895</v>
      </c>
      <c r="F10" t="s">
        <v>877</v>
      </c>
      <c r="G10" s="2" t="s">
        <v>976</v>
      </c>
      <c r="H10">
        <v>99000</v>
      </c>
      <c r="I10">
        <f>ROUND(Tabla6[[#This Row],[COSTO]]/0.7,0)</f>
        <v>141429</v>
      </c>
      <c r="J10" s="3">
        <f>ROUND(Tabla6[[#This Row],[P GRAN MAYOR]]/0.8,0)</f>
        <v>176786</v>
      </c>
      <c r="K10" s="3">
        <f>ROUND(Tabla6[[#This Row],[P POR MAYOR]]/(1-0.375),0)</f>
        <v>282858</v>
      </c>
    </row>
    <row r="11" spans="4:11" ht="17" x14ac:dyDescent="0.2">
      <c r="D11" s="1" t="s">
        <v>896</v>
      </c>
      <c r="E11" s="2" t="s">
        <v>897</v>
      </c>
      <c r="F11" t="s">
        <v>878</v>
      </c>
      <c r="G11" s="2" t="s">
        <v>977</v>
      </c>
      <c r="H11">
        <v>45000</v>
      </c>
      <c r="I11">
        <f>ROUND(Tabla6[[#This Row],[COSTO]]/0.7,0)</f>
        <v>64286</v>
      </c>
      <c r="J11" s="3">
        <f>ROUND(Tabla6[[#This Row],[P GRAN MAYOR]]/0.8,0)</f>
        <v>80358</v>
      </c>
      <c r="K11" s="3">
        <f>ROUND(Tabla6[[#This Row],[P POR MAYOR]]/(1-0.375),0)</f>
        <v>128573</v>
      </c>
    </row>
    <row r="12" spans="4:11" ht="17" x14ac:dyDescent="0.2">
      <c r="D12" s="1" t="s">
        <v>898</v>
      </c>
      <c r="E12" s="2" t="s">
        <v>899</v>
      </c>
      <c r="F12" t="s">
        <v>733</v>
      </c>
      <c r="G12" s="2" t="s">
        <v>978</v>
      </c>
      <c r="H12">
        <f>120000*0.7</f>
        <v>84000</v>
      </c>
      <c r="I12">
        <f>ROUND(Tabla6[[#This Row],[COSTO]]/0.7,0)</f>
        <v>120000</v>
      </c>
      <c r="J12" s="3">
        <f>ROUND(Tabla6[[#This Row],[P GRAN MAYOR]]/0.8,0)</f>
        <v>150000</v>
      </c>
      <c r="K12" s="3">
        <f>ROUND(Tabla6[[#This Row],[P POR MAYOR]]/(1-0.375),0)</f>
        <v>240000</v>
      </c>
    </row>
    <row r="13" spans="4:11" ht="17" x14ac:dyDescent="0.2">
      <c r="D13" s="1" t="s">
        <v>900</v>
      </c>
      <c r="E13" s="2" t="s">
        <v>901</v>
      </c>
      <c r="F13" t="s">
        <v>878</v>
      </c>
      <c r="G13" s="2" t="s">
        <v>979</v>
      </c>
      <c r="H13">
        <v>120000</v>
      </c>
      <c r="I13">
        <f>ROUND(Tabla6[[#This Row],[COSTO]]/0.7,0)</f>
        <v>171429</v>
      </c>
      <c r="J13" s="3">
        <f>ROUND(Tabla6[[#This Row],[P GRAN MAYOR]]/0.8,0)</f>
        <v>214286</v>
      </c>
      <c r="K13" s="3">
        <f>ROUND(Tabla6[[#This Row],[P POR MAYOR]]/(1-0.375),0)</f>
        <v>342858</v>
      </c>
    </row>
    <row r="14" spans="4:11" ht="17" x14ac:dyDescent="0.2">
      <c r="D14" s="1" t="s">
        <v>902</v>
      </c>
      <c r="E14" s="2" t="s">
        <v>903</v>
      </c>
      <c r="F14" t="s">
        <v>132</v>
      </c>
      <c r="G14" s="2" t="s">
        <v>980</v>
      </c>
      <c r="H14">
        <f>46000*0.9</f>
        <v>41400</v>
      </c>
      <c r="I14">
        <f>ROUND(Tabla6[[#This Row],[COSTO]]/0.7,0)</f>
        <v>59143</v>
      </c>
      <c r="J14" s="3">
        <f>ROUND(Tabla6[[#This Row],[P GRAN MAYOR]]/0.8,0)</f>
        <v>73929</v>
      </c>
      <c r="K14" s="3">
        <f>ROUND(Tabla6[[#This Row],[P POR MAYOR]]/(1-0.375),0)</f>
        <v>118286</v>
      </c>
    </row>
    <row r="15" spans="4:11" ht="17" x14ac:dyDescent="0.2">
      <c r="D15" s="1" t="s">
        <v>904</v>
      </c>
      <c r="E15" s="2" t="s">
        <v>905</v>
      </c>
      <c r="F15" t="s">
        <v>132</v>
      </c>
      <c r="G15" s="2" t="s">
        <v>981</v>
      </c>
      <c r="H15">
        <f>68000*0.9</f>
        <v>61200</v>
      </c>
      <c r="I15">
        <f>ROUND(Tabla6[[#This Row],[COSTO]]/0.7,0)</f>
        <v>87429</v>
      </c>
      <c r="J15" s="3">
        <f>ROUND(Tabla6[[#This Row],[P GRAN MAYOR]]/0.8,0)</f>
        <v>109286</v>
      </c>
      <c r="K15" s="3">
        <f>ROUND(Tabla6[[#This Row],[P POR MAYOR]]/(1-0.375),0)</f>
        <v>174858</v>
      </c>
    </row>
    <row r="16" spans="4:11" ht="17" x14ac:dyDescent="0.2">
      <c r="D16" s="1" t="s">
        <v>906</v>
      </c>
      <c r="E16" s="2" t="s">
        <v>907</v>
      </c>
      <c r="F16" t="s">
        <v>132</v>
      </c>
      <c r="G16" s="2" t="s">
        <v>982</v>
      </c>
      <c r="H16">
        <f>51000*0.9</f>
        <v>45900</v>
      </c>
      <c r="I16">
        <f>ROUND(Tabla6[[#This Row],[COSTO]]/0.7,0)</f>
        <v>65571</v>
      </c>
      <c r="J16" s="3">
        <f>ROUND(Tabla6[[#This Row],[P GRAN MAYOR]]/0.8,0)</f>
        <v>81964</v>
      </c>
      <c r="K16" s="3">
        <f>ROUND(Tabla6[[#This Row],[P POR MAYOR]]/(1-0.375),0)</f>
        <v>131142</v>
      </c>
    </row>
    <row r="17" spans="4:11" ht="17" x14ac:dyDescent="0.2">
      <c r="D17" s="1" t="s">
        <v>908</v>
      </c>
      <c r="E17" s="2" t="s">
        <v>909</v>
      </c>
      <c r="F17" t="s">
        <v>132</v>
      </c>
      <c r="G17" s="2" t="s">
        <v>983</v>
      </c>
      <c r="H17">
        <f>53000*0.9</f>
        <v>47700</v>
      </c>
      <c r="I17">
        <f>ROUND(Tabla6[[#This Row],[COSTO]]/0.7,0)</f>
        <v>68143</v>
      </c>
      <c r="J17" s="3">
        <f>ROUND(Tabla6[[#This Row],[P GRAN MAYOR]]/0.8,0)</f>
        <v>85179</v>
      </c>
      <c r="K17" s="3">
        <f>ROUND(Tabla6[[#This Row],[P POR MAYOR]]/(1-0.375),0)</f>
        <v>136286</v>
      </c>
    </row>
    <row r="18" spans="4:11" ht="17" x14ac:dyDescent="0.2">
      <c r="D18" s="1" t="s">
        <v>910</v>
      </c>
      <c r="E18" s="2" t="s">
        <v>911</v>
      </c>
      <c r="F18" t="s">
        <v>132</v>
      </c>
      <c r="G18" s="2" t="s">
        <v>984</v>
      </c>
      <c r="H18">
        <f>58000*0.9</f>
        <v>52200</v>
      </c>
      <c r="I18">
        <f>ROUND(Tabla6[[#This Row],[COSTO]]/0.7,0)</f>
        <v>74571</v>
      </c>
      <c r="J18" s="3">
        <f>ROUND(Tabla6[[#This Row],[P GRAN MAYOR]]/0.8,0)</f>
        <v>93214</v>
      </c>
      <c r="K18" s="3">
        <f>ROUND(Tabla6[[#This Row],[P POR MAYOR]]/(1-0.375),0)</f>
        <v>149142</v>
      </c>
    </row>
    <row r="19" spans="4:11" ht="17" x14ac:dyDescent="0.2">
      <c r="D19" s="1" t="s">
        <v>912</v>
      </c>
      <c r="E19" s="2" t="s">
        <v>913</v>
      </c>
      <c r="F19" t="s">
        <v>132</v>
      </c>
      <c r="G19" s="2" t="s">
        <v>985</v>
      </c>
      <c r="H19">
        <f>46000*0.9</f>
        <v>41400</v>
      </c>
      <c r="I19">
        <f>ROUND(Tabla6[[#This Row],[COSTO]]/0.7,0)</f>
        <v>59143</v>
      </c>
      <c r="J19" s="3">
        <f>ROUND(Tabla6[[#This Row],[P GRAN MAYOR]]/0.8,0)</f>
        <v>73929</v>
      </c>
      <c r="K19" s="3">
        <f>ROUND(Tabla6[[#This Row],[P POR MAYOR]]/(1-0.375),0)</f>
        <v>118286</v>
      </c>
    </row>
    <row r="20" spans="4:11" ht="17" x14ac:dyDescent="0.2">
      <c r="D20" s="1" t="s">
        <v>914</v>
      </c>
      <c r="E20" s="2" t="s">
        <v>915</v>
      </c>
      <c r="F20" t="s">
        <v>132</v>
      </c>
      <c r="G20" s="2" t="s">
        <v>985</v>
      </c>
      <c r="H20">
        <f>46000*0.9</f>
        <v>41400</v>
      </c>
      <c r="I20">
        <f>ROUND(Tabla6[[#This Row],[COSTO]]/0.7,0)</f>
        <v>59143</v>
      </c>
      <c r="J20" s="3">
        <f>ROUND(Tabla6[[#This Row],[P GRAN MAYOR]]/0.8,0)</f>
        <v>73929</v>
      </c>
      <c r="K20" s="3">
        <f>ROUND(Tabla6[[#This Row],[P POR MAYOR]]/(1-0.375),0)</f>
        <v>118286</v>
      </c>
    </row>
    <row r="21" spans="4:11" ht="34" x14ac:dyDescent="0.2">
      <c r="D21" s="1" t="s">
        <v>916</v>
      </c>
      <c r="E21" s="2" t="s">
        <v>917</v>
      </c>
      <c r="G21" s="2" t="s">
        <v>116</v>
      </c>
      <c r="I21">
        <f>ROUND(Tabla6[[#This Row],[COSTO]]/0.7,0)</f>
        <v>0</v>
      </c>
      <c r="J21" s="3">
        <f>ROUND(Tabla6[[#This Row],[P GRAN MAYOR]]/0.8,0)</f>
        <v>0</v>
      </c>
      <c r="K21" s="3">
        <f>ROUND(Tabla6[[#This Row],[P POR MAYOR]]/(1-0.375),0)</f>
        <v>0</v>
      </c>
    </row>
    <row r="22" spans="4:11" ht="17" x14ac:dyDescent="0.2">
      <c r="D22" s="1" t="s">
        <v>918</v>
      </c>
      <c r="E22" s="2" t="s">
        <v>919</v>
      </c>
      <c r="F22" t="s">
        <v>133</v>
      </c>
      <c r="G22" s="2" t="s">
        <v>116</v>
      </c>
      <c r="H22">
        <v>70000</v>
      </c>
      <c r="I22">
        <f>ROUND(Tabla6[[#This Row],[COSTO]]/0.7,0)</f>
        <v>100000</v>
      </c>
      <c r="J22" s="3">
        <f>ROUND(Tabla6[[#This Row],[P GRAN MAYOR]]/0.8,0)</f>
        <v>125000</v>
      </c>
      <c r="K22" s="3">
        <f>ROUND(Tabla6[[#This Row],[P POR MAYOR]]/(1-0.375),0)</f>
        <v>200000</v>
      </c>
    </row>
    <row r="23" spans="4:11" ht="17" x14ac:dyDescent="0.2">
      <c r="D23" s="1" t="s">
        <v>920</v>
      </c>
      <c r="E23" s="2" t="s">
        <v>921</v>
      </c>
      <c r="F23" t="s">
        <v>133</v>
      </c>
      <c r="G23" s="2" t="s">
        <v>116</v>
      </c>
      <c r="H23">
        <v>70000</v>
      </c>
      <c r="I23">
        <f>ROUND(Tabla6[[#This Row],[COSTO]]/0.7,0)</f>
        <v>100000</v>
      </c>
      <c r="J23" s="3">
        <f>ROUND(Tabla6[[#This Row],[P GRAN MAYOR]]/0.8,0)</f>
        <v>125000</v>
      </c>
      <c r="K23" s="3">
        <f>ROUND(Tabla6[[#This Row],[P POR MAYOR]]/(1-0.375),0)</f>
        <v>200000</v>
      </c>
    </row>
    <row r="24" spans="4:11" ht="17" x14ac:dyDescent="0.2">
      <c r="D24" s="1" t="s">
        <v>922</v>
      </c>
      <c r="E24" s="2" t="s">
        <v>923</v>
      </c>
      <c r="F24" t="s">
        <v>133</v>
      </c>
      <c r="G24" s="2" t="s">
        <v>116</v>
      </c>
      <c r="H24">
        <v>70000</v>
      </c>
      <c r="I24">
        <f>ROUND(Tabla6[[#This Row],[COSTO]]/0.7,0)</f>
        <v>100000</v>
      </c>
      <c r="J24" s="3">
        <f>ROUND(Tabla6[[#This Row],[P GRAN MAYOR]]/0.8,0)</f>
        <v>125000</v>
      </c>
      <c r="K24" s="3">
        <f>ROUND(Tabla6[[#This Row],[P POR MAYOR]]/(1-0.375),0)</f>
        <v>200000</v>
      </c>
    </row>
    <row r="25" spans="4:11" ht="17" x14ac:dyDescent="0.2">
      <c r="D25" s="1" t="s">
        <v>924</v>
      </c>
      <c r="E25" s="1" t="s">
        <v>925</v>
      </c>
      <c r="F25" t="s">
        <v>134</v>
      </c>
      <c r="G25" s="2" t="s">
        <v>990</v>
      </c>
      <c r="H25">
        <f>148500*0.95</f>
        <v>141075</v>
      </c>
      <c r="I25">
        <f>ROUND(Tabla6[[#This Row],[COSTO]]/0.7,0)</f>
        <v>201536</v>
      </c>
      <c r="J25" s="3">
        <f>ROUND(Tabla6[[#This Row],[P GRAN MAYOR]]/0.8,0)</f>
        <v>251920</v>
      </c>
      <c r="K25" s="3">
        <f>ROUND(Tabla6[[#This Row],[P POR MAYOR]]/(1-0.375),0)</f>
        <v>403072</v>
      </c>
    </row>
    <row r="26" spans="4:11" ht="17" x14ac:dyDescent="0.2">
      <c r="D26" s="1" t="s">
        <v>926</v>
      </c>
      <c r="E26" s="1" t="s">
        <v>927</v>
      </c>
      <c r="F26" t="s">
        <v>134</v>
      </c>
      <c r="G26" s="2" t="s">
        <v>991</v>
      </c>
      <c r="H26">
        <f>122500*0.95</f>
        <v>116375</v>
      </c>
      <c r="I26">
        <f>ROUND(Tabla6[[#This Row],[COSTO]]/0.7,0)</f>
        <v>166250</v>
      </c>
      <c r="J26" s="3">
        <f>ROUND(Tabla6[[#This Row],[P GRAN MAYOR]]/0.8,0)</f>
        <v>207813</v>
      </c>
      <c r="K26" s="3">
        <f>ROUND(Tabla6[[#This Row],[P POR MAYOR]]/(1-0.375),0)</f>
        <v>332501</v>
      </c>
    </row>
    <row r="27" spans="4:11" ht="34" x14ac:dyDescent="0.2">
      <c r="D27" s="1" t="s">
        <v>928</v>
      </c>
      <c r="E27" s="2" t="s">
        <v>929</v>
      </c>
      <c r="F27" t="s">
        <v>134</v>
      </c>
      <c r="G27" s="2" t="s">
        <v>992</v>
      </c>
      <c r="H27">
        <f>51500*0.95</f>
        <v>48925</v>
      </c>
      <c r="I27">
        <f>ROUND(Tabla6[[#This Row],[COSTO]]/0.7,0)</f>
        <v>69893</v>
      </c>
      <c r="J27" s="3">
        <f>ROUND(Tabla6[[#This Row],[P GRAN MAYOR]]/0.8,0)</f>
        <v>87366</v>
      </c>
      <c r="K27" s="3">
        <f>ROUND(Tabla6[[#This Row],[P POR MAYOR]]/(1-0.375),0)</f>
        <v>139786</v>
      </c>
    </row>
    <row r="28" spans="4:11" ht="34" x14ac:dyDescent="0.2">
      <c r="D28" s="1" t="s">
        <v>930</v>
      </c>
      <c r="E28" s="2" t="s">
        <v>931</v>
      </c>
      <c r="F28" t="s">
        <v>134</v>
      </c>
      <c r="G28" s="2" t="s">
        <v>993</v>
      </c>
      <c r="H28">
        <f>57800*0.95</f>
        <v>54910</v>
      </c>
      <c r="I28">
        <f>ROUND(Tabla6[[#This Row],[COSTO]]/0.7,0)</f>
        <v>78443</v>
      </c>
      <c r="J28" s="3">
        <f>ROUND(Tabla6[[#This Row],[P GRAN MAYOR]]/0.8,0)</f>
        <v>98054</v>
      </c>
      <c r="K28" s="3">
        <f>ROUND(Tabla6[[#This Row],[P POR MAYOR]]/(1-0.375),0)</f>
        <v>156886</v>
      </c>
    </row>
    <row r="29" spans="4:11" ht="34" x14ac:dyDescent="0.2">
      <c r="D29" s="1" t="s">
        <v>932</v>
      </c>
      <c r="E29" s="2" t="s">
        <v>933</v>
      </c>
      <c r="F29" t="s">
        <v>134</v>
      </c>
      <c r="G29" s="2" t="s">
        <v>994</v>
      </c>
      <c r="H29">
        <f>105500*0.95</f>
        <v>100225</v>
      </c>
      <c r="I29">
        <f>ROUND(Tabla6[[#This Row],[COSTO]]/0.7,0)</f>
        <v>143179</v>
      </c>
      <c r="J29" s="3">
        <f>ROUND(Tabla6[[#This Row],[P GRAN MAYOR]]/0.8,0)</f>
        <v>178974</v>
      </c>
      <c r="K29" s="3">
        <f>ROUND(Tabla6[[#This Row],[P POR MAYOR]]/(1-0.375),0)</f>
        <v>286358</v>
      </c>
    </row>
    <row r="30" spans="4:11" ht="17" x14ac:dyDescent="0.2">
      <c r="D30" s="1" t="s">
        <v>934</v>
      </c>
      <c r="E30" s="1" t="s">
        <v>935</v>
      </c>
      <c r="F30" t="s">
        <v>134</v>
      </c>
      <c r="G30" s="2" t="s">
        <v>995</v>
      </c>
      <c r="H30">
        <f>26500*0.9</f>
        <v>23850</v>
      </c>
      <c r="I30">
        <f>ROUND(Tabla6[[#This Row],[COSTO]]/0.7,0)</f>
        <v>34071</v>
      </c>
      <c r="J30" s="3">
        <f>ROUND(Tabla6[[#This Row],[P GRAN MAYOR]]/0.8,0)</f>
        <v>42589</v>
      </c>
      <c r="K30" s="3">
        <f>ROUND(Tabla6[[#This Row],[P POR MAYOR]]/(1-0.375),0)</f>
        <v>68142</v>
      </c>
    </row>
    <row r="31" spans="4:11" ht="34" x14ac:dyDescent="0.2">
      <c r="D31" s="1" t="s">
        <v>936</v>
      </c>
      <c r="E31" s="2" t="s">
        <v>937</v>
      </c>
      <c r="F31" t="s">
        <v>134</v>
      </c>
      <c r="G31" s="2" t="s">
        <v>996</v>
      </c>
      <c r="H31">
        <f>59500*0.95</f>
        <v>56525</v>
      </c>
      <c r="I31">
        <f>ROUND(Tabla6[[#This Row],[COSTO]]/0.7,0)</f>
        <v>80750</v>
      </c>
      <c r="J31" s="3">
        <f>ROUND(Tabla6[[#This Row],[P GRAN MAYOR]]/0.8,0)</f>
        <v>100938</v>
      </c>
      <c r="K31" s="3">
        <f>ROUND(Tabla6[[#This Row],[P POR MAYOR]]/(1-0.375),0)</f>
        <v>161501</v>
      </c>
    </row>
    <row r="32" spans="4:11" ht="17" x14ac:dyDescent="0.2">
      <c r="D32" s="1" t="s">
        <v>938</v>
      </c>
      <c r="E32" s="2" t="s">
        <v>939</v>
      </c>
      <c r="F32" t="s">
        <v>134</v>
      </c>
      <c r="G32" s="2" t="s">
        <v>997</v>
      </c>
      <c r="H32">
        <f>44500*0.95</f>
        <v>42275</v>
      </c>
      <c r="I32">
        <f>ROUND(Tabla6[[#This Row],[COSTO]]/0.7,0)</f>
        <v>60393</v>
      </c>
      <c r="J32" s="3">
        <f>ROUND(Tabla6[[#This Row],[P GRAN MAYOR]]/0.8,0)</f>
        <v>75491</v>
      </c>
      <c r="K32" s="3">
        <f>ROUND(Tabla6[[#This Row],[P POR MAYOR]]/(1-0.375),0)</f>
        <v>120786</v>
      </c>
    </row>
    <row r="33" spans="4:11" ht="17" x14ac:dyDescent="0.2">
      <c r="D33" s="1" t="s">
        <v>940</v>
      </c>
      <c r="E33" s="2" t="s">
        <v>941</v>
      </c>
      <c r="F33" t="s">
        <v>134</v>
      </c>
      <c r="G33" s="2" t="s">
        <v>998</v>
      </c>
      <c r="H33">
        <f>55500*0.95</f>
        <v>52725</v>
      </c>
      <c r="I33">
        <f>ROUND(Tabla6[[#This Row],[COSTO]]/0.7,0)</f>
        <v>75321</v>
      </c>
      <c r="J33" s="3">
        <f>ROUND(Tabla6[[#This Row],[P GRAN MAYOR]]/0.8,0)</f>
        <v>94151</v>
      </c>
      <c r="K33" s="3">
        <f>ROUND(Tabla6[[#This Row],[P POR MAYOR]]/(1-0.375),0)</f>
        <v>150642</v>
      </c>
    </row>
    <row r="34" spans="4:11" ht="34" x14ac:dyDescent="0.2">
      <c r="D34" s="1" t="s">
        <v>942</v>
      </c>
      <c r="E34" s="2" t="s">
        <v>943</v>
      </c>
      <c r="F34" t="s">
        <v>134</v>
      </c>
      <c r="G34" s="2" t="s">
        <v>999</v>
      </c>
      <c r="H34">
        <f>76000*0.95</f>
        <v>72200</v>
      </c>
      <c r="I34">
        <f>ROUND(Tabla6[[#This Row],[COSTO]]/0.7,0)</f>
        <v>103143</v>
      </c>
      <c r="J34" s="3">
        <f>ROUND(Tabla6[[#This Row],[P GRAN MAYOR]]/0.8,0)</f>
        <v>128929</v>
      </c>
      <c r="K34" s="3">
        <f>ROUND(Tabla6[[#This Row],[P POR MAYOR]]/(1-0.375),0)</f>
        <v>206286</v>
      </c>
    </row>
    <row r="35" spans="4:11" ht="34" x14ac:dyDescent="0.2">
      <c r="D35" s="1" t="s">
        <v>944</v>
      </c>
      <c r="E35" s="2" t="s">
        <v>945</v>
      </c>
      <c r="F35" t="s">
        <v>134</v>
      </c>
      <c r="G35" s="2" t="s">
        <v>1000</v>
      </c>
      <c r="H35">
        <f>33500*0.95</f>
        <v>31825</v>
      </c>
      <c r="I35">
        <f>ROUND(Tabla6[[#This Row],[COSTO]]/0.7,0)</f>
        <v>45464</v>
      </c>
      <c r="J35" s="3">
        <f>ROUND(Tabla6[[#This Row],[P GRAN MAYOR]]/0.8,0)</f>
        <v>56830</v>
      </c>
      <c r="K35" s="3">
        <f>ROUND(Tabla6[[#This Row],[P POR MAYOR]]/(1-0.375),0)</f>
        <v>90928</v>
      </c>
    </row>
    <row r="36" spans="4:11" ht="17" x14ac:dyDescent="0.2">
      <c r="D36" s="1" t="s">
        <v>946</v>
      </c>
      <c r="E36" s="2" t="s">
        <v>947</v>
      </c>
      <c r="F36" t="s">
        <v>134</v>
      </c>
      <c r="G36" s="2" t="s">
        <v>1001</v>
      </c>
      <c r="H36">
        <f>32500*0.95</f>
        <v>30875</v>
      </c>
      <c r="I36">
        <f>ROUND(Tabla6[[#This Row],[COSTO]]/0.7,0)</f>
        <v>44107</v>
      </c>
      <c r="J36" s="3">
        <f>ROUND(Tabla6[[#This Row],[P GRAN MAYOR]]/0.8,0)</f>
        <v>55134</v>
      </c>
      <c r="K36" s="3">
        <f>ROUND(Tabla6[[#This Row],[P POR MAYOR]]/(1-0.375),0)</f>
        <v>88214</v>
      </c>
    </row>
    <row r="37" spans="4:11" ht="34" x14ac:dyDescent="0.2">
      <c r="D37" s="1" t="s">
        <v>948</v>
      </c>
      <c r="E37" s="2" t="s">
        <v>949</v>
      </c>
      <c r="F37" t="s">
        <v>134</v>
      </c>
      <c r="G37" s="2" t="s">
        <v>1002</v>
      </c>
      <c r="H37">
        <f>44500*0.95</f>
        <v>42275</v>
      </c>
      <c r="I37">
        <f>ROUND(Tabla6[[#This Row],[COSTO]]/0.7,0)</f>
        <v>60393</v>
      </c>
      <c r="J37" s="3">
        <f>ROUND(Tabla6[[#This Row],[P GRAN MAYOR]]/0.8,0)</f>
        <v>75491</v>
      </c>
      <c r="K37" s="3">
        <f>ROUND(Tabla6[[#This Row],[P POR MAYOR]]/(1-0.375),0)</f>
        <v>120786</v>
      </c>
    </row>
    <row r="38" spans="4:11" ht="17" x14ac:dyDescent="0.2">
      <c r="D38" s="1" t="s">
        <v>950</v>
      </c>
      <c r="E38" s="2" t="s">
        <v>951</v>
      </c>
      <c r="F38" t="s">
        <v>134</v>
      </c>
      <c r="G38" s="2" t="s">
        <v>1003</v>
      </c>
      <c r="H38">
        <f>39500*0.95</f>
        <v>37525</v>
      </c>
      <c r="I38">
        <f>ROUND(Tabla6[[#This Row],[COSTO]]/0.7,0)</f>
        <v>53607</v>
      </c>
      <c r="J38" s="3">
        <f>ROUND(Tabla6[[#This Row],[P GRAN MAYOR]]/0.8,0)</f>
        <v>67009</v>
      </c>
      <c r="K38" s="3">
        <f>ROUND(Tabla6[[#This Row],[P POR MAYOR]]/(1-0.375),0)</f>
        <v>107214</v>
      </c>
    </row>
    <row r="39" spans="4:11" ht="17" x14ac:dyDescent="0.2">
      <c r="D39" s="1" t="s">
        <v>952</v>
      </c>
      <c r="E39" s="2" t="s">
        <v>953</v>
      </c>
      <c r="G39" s="2" t="s">
        <v>116</v>
      </c>
      <c r="I39">
        <f>ROUND(Tabla6[[#This Row],[COSTO]]/0.7,0)</f>
        <v>0</v>
      </c>
      <c r="J39" s="3">
        <f>ROUND(Tabla6[[#This Row],[P GRAN MAYOR]]/0.8,0)</f>
        <v>0</v>
      </c>
      <c r="K39" s="3">
        <f>ROUND(Tabla6[[#This Row],[P POR MAYOR]]/(1-0.375),0)</f>
        <v>0</v>
      </c>
    </row>
    <row r="40" spans="4:11" ht="17" x14ac:dyDescent="0.2">
      <c r="D40" s="1" t="s">
        <v>954</v>
      </c>
      <c r="E40" s="2" t="s">
        <v>955</v>
      </c>
      <c r="G40" s="2" t="s">
        <v>116</v>
      </c>
      <c r="I40">
        <f>ROUND(Tabla6[[#This Row],[COSTO]]/0.7,0)</f>
        <v>0</v>
      </c>
      <c r="J40" s="3">
        <f>ROUND(Tabla6[[#This Row],[P GRAN MAYOR]]/0.8,0)</f>
        <v>0</v>
      </c>
      <c r="K40" s="3">
        <f>ROUND(Tabla6[[#This Row],[P POR MAYOR]]/(1-0.375),0)</f>
        <v>0</v>
      </c>
    </row>
    <row r="41" spans="4:11" ht="17" x14ac:dyDescent="0.2">
      <c r="D41" s="1" t="s">
        <v>956</v>
      </c>
      <c r="E41" s="2" t="s">
        <v>957</v>
      </c>
      <c r="F41" t="s">
        <v>132</v>
      </c>
      <c r="G41" s="2" t="s">
        <v>986</v>
      </c>
      <c r="H41">
        <f>33000*0.9</f>
        <v>29700</v>
      </c>
      <c r="I41">
        <f>ROUND(Tabla6[[#This Row],[COSTO]]/0.7,0)</f>
        <v>42429</v>
      </c>
      <c r="J41" s="3">
        <f>ROUND(Tabla6[[#This Row],[P GRAN MAYOR]]/0.8,0)</f>
        <v>53036</v>
      </c>
      <c r="K41" s="3">
        <f>ROUND(Tabla6[[#This Row],[P POR MAYOR]]/(1-0.375),0)</f>
        <v>84858</v>
      </c>
    </row>
    <row r="42" spans="4:11" ht="17" x14ac:dyDescent="0.2">
      <c r="D42" s="1" t="s">
        <v>958</v>
      </c>
      <c r="E42" s="2" t="s">
        <v>959</v>
      </c>
      <c r="F42" t="s">
        <v>132</v>
      </c>
      <c r="G42" s="2" t="s">
        <v>987</v>
      </c>
      <c r="H42">
        <f>75000*0.9</f>
        <v>67500</v>
      </c>
      <c r="I42">
        <f>ROUND(Tabla6[[#This Row],[COSTO]]/0.7,0)</f>
        <v>96429</v>
      </c>
      <c r="J42" s="3">
        <f>ROUND(Tabla6[[#This Row],[P GRAN MAYOR]]/0.8,0)</f>
        <v>120536</v>
      </c>
      <c r="K42" s="3">
        <f>ROUND(Tabla6[[#This Row],[P POR MAYOR]]/(1-0.375),0)</f>
        <v>192858</v>
      </c>
    </row>
    <row r="43" spans="4:11" ht="17" x14ac:dyDescent="0.2">
      <c r="D43" s="1" t="s">
        <v>960</v>
      </c>
      <c r="E43" s="2" t="s">
        <v>961</v>
      </c>
      <c r="F43" t="s">
        <v>132</v>
      </c>
      <c r="G43" s="2" t="s">
        <v>1332</v>
      </c>
      <c r="H43">
        <f>87000*0.85</f>
        <v>73950</v>
      </c>
      <c r="I43">
        <f>ROUND(Tabla6[[#This Row],[COSTO]]/0.7,0)</f>
        <v>105643</v>
      </c>
      <c r="J43" s="3">
        <f>ROUND(Tabla6[[#This Row],[P GRAN MAYOR]]/0.8,0)</f>
        <v>132054</v>
      </c>
      <c r="K43" s="3">
        <f>ROUND(Tabla6[[#This Row],[P POR MAYOR]]/(1-0.375),0)</f>
        <v>211286</v>
      </c>
    </row>
    <row r="44" spans="4:11" ht="17" x14ac:dyDescent="0.2">
      <c r="D44" s="1" t="s">
        <v>962</v>
      </c>
      <c r="E44" s="2" t="s">
        <v>963</v>
      </c>
      <c r="F44" t="s">
        <v>132</v>
      </c>
      <c r="G44" s="2" t="s">
        <v>988</v>
      </c>
      <c r="H44">
        <f>32000*0.9</f>
        <v>28800</v>
      </c>
      <c r="I44">
        <f>ROUND(Tabla6[[#This Row],[COSTO]]/0.7,0)</f>
        <v>41143</v>
      </c>
      <c r="J44" s="3">
        <f>ROUND(Tabla6[[#This Row],[P GRAN MAYOR]]/0.8,0)</f>
        <v>51429</v>
      </c>
      <c r="K44" s="3">
        <f>ROUND(Tabla6[[#This Row],[P POR MAYOR]]/(1-0.375),0)</f>
        <v>82286</v>
      </c>
    </row>
    <row r="45" spans="4:11" ht="17" x14ac:dyDescent="0.2">
      <c r="D45" s="1" t="s">
        <v>964</v>
      </c>
      <c r="E45" s="2" t="s">
        <v>965</v>
      </c>
      <c r="G45" s="2" t="s">
        <v>989</v>
      </c>
      <c r="I45">
        <f>ROUND(Tabla6[[#This Row],[COSTO]]/0.7,0)</f>
        <v>0</v>
      </c>
      <c r="J45" s="3">
        <f>ROUND(Tabla6[[#This Row],[P GRAN MAYOR]]/0.8,0)</f>
        <v>0</v>
      </c>
      <c r="K45" s="3">
        <f>ROUND(Tabla6[[#This Row],[P POR MAYOR]]/(1-0.375),0)</f>
        <v>0</v>
      </c>
    </row>
    <row r="46" spans="4:11" ht="17" x14ac:dyDescent="0.2">
      <c r="D46" s="1" t="s">
        <v>966</v>
      </c>
      <c r="E46" s="2" t="s">
        <v>967</v>
      </c>
      <c r="F46" t="s">
        <v>132</v>
      </c>
      <c r="G46" s="2" t="s">
        <v>985</v>
      </c>
      <c r="H46">
        <f>46000*0.9</f>
        <v>41400</v>
      </c>
      <c r="I46">
        <f>ROUND(Tabla6[[#This Row],[COSTO]]/0.7,0)</f>
        <v>59143</v>
      </c>
      <c r="J46" s="3">
        <f>ROUND(Tabla6[[#This Row],[P GRAN MAYOR]]/0.8,0)</f>
        <v>73929</v>
      </c>
      <c r="K46" s="3">
        <f>ROUND(Tabla6[[#This Row],[P POR MAYOR]]/(1-0.375),0)</f>
        <v>118286</v>
      </c>
    </row>
    <row r="47" spans="4:11" ht="34" x14ac:dyDescent="0.2">
      <c r="D47" s="1" t="s">
        <v>968</v>
      </c>
      <c r="E47" s="2" t="s">
        <v>969</v>
      </c>
      <c r="F47" t="s">
        <v>134</v>
      </c>
      <c r="G47" s="2" t="s">
        <v>1004</v>
      </c>
      <c r="H47">
        <f>105500*0.95</f>
        <v>100225</v>
      </c>
      <c r="I47">
        <f>ROUND(Tabla6[[#This Row],[COSTO]]/0.7,0)</f>
        <v>143179</v>
      </c>
      <c r="J47" s="3">
        <f>ROUND(Tabla6[[#This Row],[P GRAN MAYOR]]/0.8,0)</f>
        <v>178974</v>
      </c>
      <c r="K47" s="3">
        <f>ROUND(Tabla6[[#This Row],[P POR MAYOR]]/(1-0.375),0)</f>
        <v>286358</v>
      </c>
    </row>
    <row r="48" spans="4:11" ht="30" x14ac:dyDescent="0.2">
      <c r="D48" s="1" t="s">
        <v>970</v>
      </c>
      <c r="E48" s="1" t="s">
        <v>971</v>
      </c>
      <c r="F48" t="s">
        <v>134</v>
      </c>
      <c r="G48" s="2" t="s">
        <v>1005</v>
      </c>
      <c r="H48">
        <f>71500*0.95</f>
        <v>67925</v>
      </c>
      <c r="I48">
        <f>ROUND(Tabla6[[#This Row],[COSTO]]/0.7,0)</f>
        <v>97036</v>
      </c>
      <c r="J48" s="3">
        <f>ROUND(Tabla6[[#This Row],[P GRAN MAYOR]]/0.8,0)</f>
        <v>121295</v>
      </c>
      <c r="K48" s="3">
        <f>ROUND(Tabla6[[#This Row],[P POR MAYOR]]/(1-0.375),0)</f>
        <v>194072</v>
      </c>
    </row>
    <row r="49" spans="4:11" ht="34" x14ac:dyDescent="0.2">
      <c r="D49" s="1" t="s">
        <v>1331</v>
      </c>
      <c r="E49" s="2" t="s">
        <v>1333</v>
      </c>
      <c r="F49" t="s">
        <v>132</v>
      </c>
      <c r="G49" s="2" t="s">
        <v>1334</v>
      </c>
      <c r="H49">
        <f>76000*0.85</f>
        <v>64600</v>
      </c>
      <c r="I49">
        <f>ROUND(Tabla6[[#This Row],[COSTO]]/0.7,0)</f>
        <v>92286</v>
      </c>
      <c r="J49" s="3">
        <f>ROUND(Tabla6[[#This Row],[P GRAN MAYOR]]/0.8,0)</f>
        <v>115358</v>
      </c>
      <c r="K49" s="3">
        <f>ROUND(Tabla6[[#This Row],[P POR MAYOR]]/(1-0.375),0)</f>
        <v>184573</v>
      </c>
    </row>
    <row r="50" spans="4:11" ht="17" x14ac:dyDescent="0.2">
      <c r="D50" s="1" t="s">
        <v>1335</v>
      </c>
      <c r="E50" s="2" t="s">
        <v>1336</v>
      </c>
      <c r="F50" t="s">
        <v>132</v>
      </c>
      <c r="G50" s="2" t="s">
        <v>1337</v>
      </c>
      <c r="H50">
        <f>110000*0.85</f>
        <v>93500</v>
      </c>
      <c r="I50">
        <f>ROUND(Tabla6[[#This Row],[COSTO]]/0.7,0)</f>
        <v>133571</v>
      </c>
      <c r="J50" s="3">
        <f>ROUND(Tabla6[[#This Row],[P GRAN MAYOR]]/0.8,0)</f>
        <v>166964</v>
      </c>
      <c r="K50" s="3">
        <f>ROUND(Tabla6[[#This Row],[P POR MAYOR]]/(1-0.375),0)</f>
        <v>267142</v>
      </c>
    </row>
    <row r="51" spans="4:11" ht="17" x14ac:dyDescent="0.2">
      <c r="D51" s="1" t="s">
        <v>1339</v>
      </c>
      <c r="E51" s="2" t="s">
        <v>1338</v>
      </c>
      <c r="F51" t="s">
        <v>132</v>
      </c>
      <c r="G51" s="2" t="s">
        <v>1299</v>
      </c>
      <c r="H51">
        <f>35000*0.85</f>
        <v>29750</v>
      </c>
      <c r="I51">
        <f>ROUND(Tabla6[[#This Row],[COSTO]]/0.7,0)</f>
        <v>42500</v>
      </c>
      <c r="J51" s="3">
        <f>ROUND(Tabla6[[#This Row],[P GRAN MAYOR]]/0.8,0)</f>
        <v>53125</v>
      </c>
      <c r="K51" s="3">
        <f>ROUND(Tabla6[[#This Row],[P POR MAYOR]]/(1-0.375),0)</f>
        <v>85000</v>
      </c>
    </row>
    <row r="52" spans="4:11" ht="34" x14ac:dyDescent="0.2">
      <c r="D52" s="1" t="s">
        <v>1342</v>
      </c>
      <c r="E52" s="2" t="s">
        <v>1340</v>
      </c>
      <c r="F52" t="s">
        <v>132</v>
      </c>
      <c r="G52" s="2" t="s">
        <v>1341</v>
      </c>
      <c r="H52">
        <f>58000*0.85</f>
        <v>49300</v>
      </c>
      <c r="I52">
        <f>ROUND(Tabla6[[#This Row],[COSTO]]/0.7,0)</f>
        <v>70429</v>
      </c>
      <c r="J52" s="3">
        <f>ROUND(Tabla6[[#This Row],[P GRAN MAYOR]]/0.8,0)</f>
        <v>88036</v>
      </c>
      <c r="K52" s="3">
        <f>ROUND(Tabla6[[#This Row],[P POR MAYOR]]/(1-0.375),0)</f>
        <v>140858</v>
      </c>
    </row>
    <row r="53" spans="4:11" ht="34" x14ac:dyDescent="0.2">
      <c r="D53" s="1" t="s">
        <v>1345</v>
      </c>
      <c r="E53" s="2" t="s">
        <v>1343</v>
      </c>
      <c r="F53" t="s">
        <v>132</v>
      </c>
      <c r="G53" s="2" t="s">
        <v>1344</v>
      </c>
      <c r="H53">
        <f>98000*0.85</f>
        <v>83300</v>
      </c>
      <c r="I53">
        <f>ROUND(Tabla6[[#This Row],[COSTO]]/0.7,0)</f>
        <v>119000</v>
      </c>
      <c r="J53" s="3">
        <f>ROUND(Tabla6[[#This Row],[P GRAN MAYOR]]/0.8,0)</f>
        <v>148750</v>
      </c>
      <c r="K53" s="3">
        <f>ROUND(Tabla6[[#This Row],[P POR MAYOR]]/(1-0.375),0)</f>
        <v>238000</v>
      </c>
    </row>
    <row r="54" spans="4:11" ht="17" x14ac:dyDescent="0.2">
      <c r="D54" s="1" t="s">
        <v>1347</v>
      </c>
      <c r="E54" s="2" t="s">
        <v>1346</v>
      </c>
      <c r="F54" t="s">
        <v>132</v>
      </c>
      <c r="G54" s="2" t="s">
        <v>1348</v>
      </c>
      <c r="H54">
        <f>32000*0.85</f>
        <v>27200</v>
      </c>
      <c r="I54">
        <f>ROUND(Tabla6[[#This Row],[COSTO]]/0.7,0)</f>
        <v>38857</v>
      </c>
      <c r="J54" s="3">
        <f>ROUND(Tabla6[[#This Row],[P GRAN MAYOR]]/0.8,0)</f>
        <v>48571</v>
      </c>
      <c r="K54" s="3">
        <f>ROUND(Tabla6[[#This Row],[P POR MAYOR]]/(1-0.375),0)</f>
        <v>77714</v>
      </c>
    </row>
    <row r="55" spans="4:11" ht="17" x14ac:dyDescent="0.2">
      <c r="D55" s="1" t="s">
        <v>1530</v>
      </c>
      <c r="E55" s="2" t="s">
        <v>1531</v>
      </c>
      <c r="F55" t="s">
        <v>132</v>
      </c>
      <c r="G55" s="2" t="s">
        <v>1532</v>
      </c>
      <c r="H55">
        <f>36000*0.85</f>
        <v>30600</v>
      </c>
      <c r="I55">
        <f>ROUND(Tabla6[[#This Row],[COSTO]]/0.7,0)</f>
        <v>43714</v>
      </c>
      <c r="J55" s="3">
        <f>ROUND(Tabla6[[#This Row],[P GRAN MAYOR]]/0.8,0)</f>
        <v>54643</v>
      </c>
      <c r="K55" s="3">
        <f>ROUND(Tabla6[[#This Row],[P POR MAYOR]]/(1-0.375),0)</f>
        <v>87429</v>
      </c>
    </row>
    <row r="56" spans="4:11" ht="17" x14ac:dyDescent="0.2">
      <c r="D56" s="1" t="s">
        <v>1533</v>
      </c>
      <c r="E56" s="2" t="s">
        <v>1535</v>
      </c>
      <c r="F56" t="s">
        <v>132</v>
      </c>
      <c r="G56" s="2" t="s">
        <v>1534</v>
      </c>
      <c r="H56">
        <f>32000*0.85</f>
        <v>27200</v>
      </c>
      <c r="I56">
        <f>ROUND(Tabla6[[#This Row],[COSTO]]/0.7,0)</f>
        <v>38857</v>
      </c>
      <c r="J56" s="3">
        <f>ROUND(Tabla6[[#This Row],[P GRAN MAYOR]]/0.8,0)</f>
        <v>48571</v>
      </c>
      <c r="K56" s="3">
        <f>ROUND(Tabla6[[#This Row],[P POR MAYOR]]/(1-0.375),0)</f>
        <v>77714</v>
      </c>
    </row>
    <row r="57" spans="4:11" ht="17" x14ac:dyDescent="0.2">
      <c r="D57" s="1" t="s">
        <v>1537</v>
      </c>
      <c r="E57" s="2" t="s">
        <v>1536</v>
      </c>
      <c r="F57" t="s">
        <v>132</v>
      </c>
      <c r="G57" s="2" t="s">
        <v>1635</v>
      </c>
      <c r="H57">
        <v>23800</v>
      </c>
      <c r="I57">
        <f>ROUND(Tabla6[[#This Row],[COSTO]]/0.7,0)</f>
        <v>34000</v>
      </c>
      <c r="J57" s="3">
        <f>ROUND(Tabla6[[#This Row],[P GRAN MAYOR]]/0.8,0)</f>
        <v>42500</v>
      </c>
      <c r="K57" s="3">
        <f>ROUND(Tabla6[[#This Row],[P POR MAYOR]]/(1-0.375),0)</f>
        <v>68000</v>
      </c>
    </row>
    <row r="58" spans="4:11" ht="34" x14ac:dyDescent="0.2">
      <c r="D58" s="1" t="s">
        <v>1538</v>
      </c>
      <c r="E58" s="2" t="s">
        <v>1539</v>
      </c>
      <c r="F58" t="s">
        <v>132</v>
      </c>
      <c r="G58" s="2" t="s">
        <v>1540</v>
      </c>
      <c r="H58">
        <f>98000*0.85</f>
        <v>83300</v>
      </c>
      <c r="I58">
        <f>ROUND(Tabla6[[#This Row],[COSTO]]/0.7,0)</f>
        <v>119000</v>
      </c>
      <c r="J58" s="3">
        <f>ROUND(Tabla6[[#This Row],[P GRAN MAYOR]]/0.8,0)</f>
        <v>148750</v>
      </c>
      <c r="K58" s="3">
        <f>ROUND(Tabla6[[#This Row],[P POR MAYOR]]/(1-0.375),0)</f>
        <v>238000</v>
      </c>
    </row>
    <row r="59" spans="4:11" ht="34" x14ac:dyDescent="0.2">
      <c r="D59" s="1" t="s">
        <v>1541</v>
      </c>
      <c r="E59" s="2" t="s">
        <v>1542</v>
      </c>
      <c r="F59" t="s">
        <v>132</v>
      </c>
      <c r="G59" s="2" t="s">
        <v>1543</v>
      </c>
      <c r="H59">
        <f>190000*0.85</f>
        <v>161500</v>
      </c>
      <c r="I59">
        <f>ROUND(Tabla6[[#This Row],[COSTO]]/0.7,0)</f>
        <v>230714</v>
      </c>
      <c r="J59" s="3">
        <f>ROUND(Tabla6[[#This Row],[P GRAN MAYOR]]/0.8,0)</f>
        <v>288393</v>
      </c>
      <c r="K59" s="3">
        <f>ROUND(Tabla6[[#This Row],[P POR MAYOR]]/(1-0.375),0)</f>
        <v>461429</v>
      </c>
    </row>
    <row r="60" spans="4:11" ht="34" x14ac:dyDescent="0.2">
      <c r="D60" s="1" t="s">
        <v>1544</v>
      </c>
      <c r="E60" s="2" t="s">
        <v>1545</v>
      </c>
      <c r="F60" t="s">
        <v>132</v>
      </c>
      <c r="G60" s="2" t="s">
        <v>1546</v>
      </c>
      <c r="H60">
        <f>143000*0.85</f>
        <v>121550</v>
      </c>
      <c r="I60">
        <f>ROUND(Tabla6[[#This Row],[COSTO]]/0.7,0)</f>
        <v>173643</v>
      </c>
      <c r="J60" s="3">
        <f>ROUND(Tabla6[[#This Row],[P GRAN MAYOR]]/0.8,0)</f>
        <v>217054</v>
      </c>
      <c r="K60" s="3">
        <f>ROUND(Tabla6[[#This Row],[P POR MAYOR]]/(1-0.375),0)</f>
        <v>347286</v>
      </c>
    </row>
    <row r="61" spans="4:11" ht="34" x14ac:dyDescent="0.2">
      <c r="D61" s="1" t="s">
        <v>1549</v>
      </c>
      <c r="E61" s="2" t="s">
        <v>1547</v>
      </c>
      <c r="F61" t="s">
        <v>132</v>
      </c>
      <c r="G61" s="2" t="s">
        <v>1548</v>
      </c>
      <c r="H61">
        <f>114000*0.85</f>
        <v>96900</v>
      </c>
      <c r="I61">
        <f>ROUND(Tabla6[[#This Row],[COSTO]]/0.7,0)</f>
        <v>138429</v>
      </c>
      <c r="J61" s="3">
        <f>ROUND(Tabla6[[#This Row],[P GRAN MAYOR]]/0.8,0)</f>
        <v>173036</v>
      </c>
      <c r="K61" s="3">
        <f>ROUND(Tabla6[[#This Row],[P POR MAYOR]]/(1-0.375),0)</f>
        <v>276858</v>
      </c>
    </row>
    <row r="62" spans="4:11" x14ac:dyDescent="0.2">
      <c r="D62" s="1"/>
      <c r="E62" s="2"/>
      <c r="G62" s="2"/>
      <c r="I62">
        <f>ROUND(Tabla6[[#This Row],[COSTO]]/0.7,0)</f>
        <v>0</v>
      </c>
      <c r="J62" s="3">
        <f>ROUND(Tabla6[[#This Row],[P GRAN MAYOR]]/0.8,0)</f>
        <v>0</v>
      </c>
      <c r="K62" s="3">
        <f>ROUND(Tabla6[[#This Row],[P POR MAYOR]]/(1-0.375),0)</f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C5CD-D8E5-B74A-BEA7-F61861C4206E}">
  <dimension ref="D4:K25"/>
  <sheetViews>
    <sheetView topLeftCell="A3" zoomScale="131" workbookViewId="0">
      <selection activeCell="D11" sqref="D11"/>
    </sheetView>
  </sheetViews>
  <sheetFormatPr baseColWidth="10" defaultRowHeight="16" x14ac:dyDescent="0.2"/>
  <cols>
    <col min="4" max="4" width="25" customWidth="1"/>
    <col min="5" max="5" width="14.33203125" customWidth="1"/>
    <col min="6" max="6" width="14.1640625" customWidth="1"/>
    <col min="8" max="9" width="15.5" customWidth="1"/>
    <col min="10" max="11" width="17" customWidth="1"/>
  </cols>
  <sheetData>
    <row r="4" spans="4:11" x14ac:dyDescent="0.2">
      <c r="I4" s="20">
        <f>(I6-H6)/I6</f>
        <v>0.29999852631268698</v>
      </c>
      <c r="J4" s="20">
        <f>(J6-H6)/J6</f>
        <v>0.44000047157855027</v>
      </c>
      <c r="K4" s="20">
        <f>(K6-H6)/K6</f>
        <v>0.65000055263070633</v>
      </c>
    </row>
    <row r="5" spans="4:11" x14ac:dyDescent="0.2"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1630</v>
      </c>
      <c r="J5" t="s">
        <v>5</v>
      </c>
      <c r="K5" t="s">
        <v>1631</v>
      </c>
    </row>
    <row r="6" spans="4:11" ht="30" x14ac:dyDescent="0.2">
      <c r="D6" s="1" t="s">
        <v>1006</v>
      </c>
      <c r="E6" s="1" t="s">
        <v>1007</v>
      </c>
      <c r="G6" s="2" t="s">
        <v>1044</v>
      </c>
      <c r="H6">
        <v>95000</v>
      </c>
      <c r="I6">
        <f>ROUND(Tabla5[[#This Row],[COSTO]]/0.7,0)</f>
        <v>135714</v>
      </c>
      <c r="J6" s="3">
        <f>ROUND(Tabla5[[#This Row],[P GRAN MAYOR]]/0.8,0)</f>
        <v>169643</v>
      </c>
      <c r="K6" s="3">
        <f>ROUND(Tabla5[[#This Row],[P POR MAYOR]]/(1-0.375),0)</f>
        <v>271429</v>
      </c>
    </row>
    <row r="7" spans="4:11" ht="51" x14ac:dyDescent="0.2">
      <c r="D7" s="1" t="s">
        <v>1008</v>
      </c>
      <c r="E7" s="2" t="s">
        <v>1009</v>
      </c>
      <c r="G7" s="2" t="s">
        <v>1045</v>
      </c>
      <c r="H7">
        <f>32000*0.9</f>
        <v>28800</v>
      </c>
      <c r="I7">
        <f>ROUND(Tabla5[[#This Row],[COSTO]]/0.7,0)</f>
        <v>41143</v>
      </c>
      <c r="J7" s="3">
        <f>ROUND(Tabla5[[#This Row],[P GRAN MAYOR]]/0.8,0)</f>
        <v>51429</v>
      </c>
      <c r="K7" s="3">
        <f>ROUND(Tabla5[[#This Row],[P POR MAYOR]]/(1-0.375),0)</f>
        <v>82286</v>
      </c>
    </row>
    <row r="8" spans="4:11" ht="34" x14ac:dyDescent="0.2">
      <c r="D8" s="1" t="s">
        <v>1010</v>
      </c>
      <c r="E8" s="2" t="s">
        <v>1011</v>
      </c>
      <c r="G8" s="2" t="s">
        <v>1046</v>
      </c>
      <c r="H8">
        <f>30000*0.9</f>
        <v>27000</v>
      </c>
      <c r="I8">
        <f>ROUND(Tabla5[[#This Row],[COSTO]]/0.7,0)</f>
        <v>38571</v>
      </c>
      <c r="J8" s="3">
        <f>ROUND(Tabla5[[#This Row],[P GRAN MAYOR]]/0.8,0)</f>
        <v>48214</v>
      </c>
      <c r="K8" s="3">
        <f>ROUND(Tabla5[[#This Row],[P POR MAYOR]]/(1-0.375),0)</f>
        <v>77142</v>
      </c>
    </row>
    <row r="9" spans="4:11" ht="34" x14ac:dyDescent="0.2">
      <c r="D9" s="1" t="s">
        <v>1012</v>
      </c>
      <c r="E9" s="2" t="s">
        <v>1013</v>
      </c>
      <c r="G9" s="2" t="s">
        <v>1047</v>
      </c>
      <c r="H9">
        <f>68000*0.9</f>
        <v>61200</v>
      </c>
      <c r="I9">
        <f>ROUND(Tabla5[[#This Row],[COSTO]]/0.7,0)</f>
        <v>87429</v>
      </c>
      <c r="J9" s="3">
        <f>ROUND(Tabla5[[#This Row],[P GRAN MAYOR]]/0.8,0)</f>
        <v>109286</v>
      </c>
      <c r="K9" s="3">
        <f>ROUND(Tabla5[[#This Row],[P POR MAYOR]]/(1-0.375),0)</f>
        <v>174858</v>
      </c>
    </row>
    <row r="10" spans="4:11" ht="34" x14ac:dyDescent="0.2">
      <c r="D10" s="1" t="s">
        <v>1014</v>
      </c>
      <c r="E10" s="2" t="s">
        <v>1015</v>
      </c>
      <c r="G10" s="2" t="s">
        <v>1048</v>
      </c>
      <c r="H10">
        <f>68000*0.9</f>
        <v>61200</v>
      </c>
      <c r="I10">
        <f>ROUND(Tabla5[[#This Row],[COSTO]]/0.7,0)</f>
        <v>87429</v>
      </c>
      <c r="J10" s="3">
        <f>ROUND(Tabla5[[#This Row],[P GRAN MAYOR]]/0.8,0)</f>
        <v>109286</v>
      </c>
      <c r="K10" s="3">
        <f>ROUND(Tabla5[[#This Row],[P POR MAYOR]]/(1-0.375),0)</f>
        <v>174858</v>
      </c>
    </row>
    <row r="11" spans="4:11" ht="34" x14ac:dyDescent="0.2">
      <c r="D11" s="1" t="s">
        <v>1016</v>
      </c>
      <c r="E11" s="2" t="s">
        <v>1017</v>
      </c>
      <c r="G11" s="2" t="s">
        <v>1049</v>
      </c>
      <c r="H11">
        <f>67000*0.9</f>
        <v>60300</v>
      </c>
      <c r="I11">
        <f>ROUND(Tabla5[[#This Row],[COSTO]]/0.7,0)</f>
        <v>86143</v>
      </c>
      <c r="J11" s="3">
        <f>ROUND(Tabla5[[#This Row],[P GRAN MAYOR]]/0.8,0)</f>
        <v>107679</v>
      </c>
      <c r="K11" s="3">
        <f>ROUND(Tabla5[[#This Row],[P POR MAYOR]]/(1-0.375),0)</f>
        <v>172286</v>
      </c>
    </row>
    <row r="12" spans="4:11" ht="34" x14ac:dyDescent="0.2">
      <c r="D12" s="1" t="s">
        <v>1018</v>
      </c>
      <c r="E12" s="2" t="s">
        <v>1019</v>
      </c>
      <c r="G12" s="2" t="s">
        <v>1050</v>
      </c>
      <c r="H12">
        <f>32000*0.9</f>
        <v>28800</v>
      </c>
      <c r="I12">
        <f>ROUND(Tabla5[[#This Row],[COSTO]]/0.7,0)</f>
        <v>41143</v>
      </c>
      <c r="J12" s="3">
        <f>ROUND(Tabla5[[#This Row],[P GRAN MAYOR]]/0.8,0)</f>
        <v>51429</v>
      </c>
      <c r="K12" s="3">
        <f>ROUND(Tabla5[[#This Row],[P POR MAYOR]]/(1-0.375),0)</f>
        <v>82286</v>
      </c>
    </row>
    <row r="13" spans="4:11" ht="34" x14ac:dyDescent="0.2">
      <c r="D13" s="1" t="s">
        <v>1020</v>
      </c>
      <c r="E13" s="2" t="s">
        <v>1021</v>
      </c>
      <c r="G13" s="2" t="s">
        <v>1060</v>
      </c>
      <c r="H13">
        <f>41500*0.9</f>
        <v>37350</v>
      </c>
      <c r="I13">
        <f>ROUND(Tabla5[[#This Row],[COSTO]]/0.7,0)</f>
        <v>53357</v>
      </c>
      <c r="J13" s="3">
        <f>ROUND(Tabla5[[#This Row],[P GRAN MAYOR]]/0.8,0)</f>
        <v>66696</v>
      </c>
      <c r="K13" s="3">
        <f>ROUND(Tabla5[[#This Row],[P POR MAYOR]]/(1-0.375),0)</f>
        <v>106714</v>
      </c>
    </row>
    <row r="14" spans="4:11" ht="51" x14ac:dyDescent="0.2">
      <c r="D14" s="1" t="s">
        <v>1022</v>
      </c>
      <c r="E14" s="2" t="s">
        <v>1023</v>
      </c>
      <c r="G14" s="2" t="s">
        <v>1061</v>
      </c>
      <c r="H14">
        <f>84500*0.95</f>
        <v>80275</v>
      </c>
      <c r="I14">
        <f>ROUND(Tabla5[[#This Row],[COSTO]]/0.7,0)</f>
        <v>114679</v>
      </c>
      <c r="J14" s="3">
        <f>ROUND(Tabla5[[#This Row],[P GRAN MAYOR]]/0.8,0)</f>
        <v>143349</v>
      </c>
      <c r="K14" s="3">
        <f>ROUND(Tabla5[[#This Row],[P POR MAYOR]]/(1-0.375),0)</f>
        <v>229358</v>
      </c>
    </row>
    <row r="15" spans="4:11" ht="51" x14ac:dyDescent="0.2">
      <c r="D15" s="1" t="s">
        <v>1024</v>
      </c>
      <c r="E15" s="2" t="s">
        <v>1025</v>
      </c>
      <c r="G15" s="2" t="s">
        <v>1062</v>
      </c>
      <c r="H15">
        <f>58500*0.95</f>
        <v>55575</v>
      </c>
      <c r="I15">
        <f>ROUND(Tabla5[[#This Row],[COSTO]]/0.7,0)</f>
        <v>79393</v>
      </c>
      <c r="J15" s="3">
        <f>ROUND(Tabla5[[#This Row],[P GRAN MAYOR]]/0.8,0)</f>
        <v>99241</v>
      </c>
      <c r="K15" s="3">
        <f>ROUND(Tabla5[[#This Row],[P POR MAYOR]]/(1-0.375),0)</f>
        <v>158786</v>
      </c>
    </row>
    <row r="16" spans="4:11" ht="34" x14ac:dyDescent="0.2">
      <c r="D16" s="1" t="s">
        <v>1026</v>
      </c>
      <c r="E16" s="2" t="s">
        <v>1027</v>
      </c>
      <c r="G16" s="2" t="s">
        <v>1051</v>
      </c>
      <c r="H16">
        <f>39000*0.9</f>
        <v>35100</v>
      </c>
      <c r="I16">
        <f>ROUND(Tabla5[[#This Row],[COSTO]]/0.7,0)</f>
        <v>50143</v>
      </c>
      <c r="J16" s="3">
        <f>ROUND(Tabla5[[#This Row],[P GRAN MAYOR]]/0.8,0)</f>
        <v>62679</v>
      </c>
      <c r="K16" s="3">
        <f>ROUND(Tabla5[[#This Row],[P POR MAYOR]]/(1-0.375),0)</f>
        <v>100286</v>
      </c>
    </row>
    <row r="17" spans="4:11" ht="34" x14ac:dyDescent="0.2">
      <c r="D17" s="1" t="s">
        <v>1028</v>
      </c>
      <c r="E17" s="2" t="s">
        <v>1029</v>
      </c>
      <c r="G17" s="2" t="s">
        <v>1052</v>
      </c>
      <c r="H17">
        <f>48000*0.9</f>
        <v>43200</v>
      </c>
      <c r="I17">
        <f>ROUND(Tabla5[[#This Row],[COSTO]]/0.7,0)</f>
        <v>61714</v>
      </c>
      <c r="J17" s="3">
        <f>ROUND(Tabla5[[#This Row],[P GRAN MAYOR]]/0.8,0)</f>
        <v>77143</v>
      </c>
      <c r="K17" s="3">
        <f>ROUND(Tabla5[[#This Row],[P POR MAYOR]]/(1-0.375),0)</f>
        <v>123429</v>
      </c>
    </row>
    <row r="18" spans="4:11" ht="34" x14ac:dyDescent="0.2">
      <c r="D18" s="1" t="s">
        <v>1030</v>
      </c>
      <c r="E18" s="2" t="s">
        <v>1031</v>
      </c>
      <c r="G18" s="2" t="s">
        <v>1053</v>
      </c>
      <c r="H18">
        <f>99000*0.9</f>
        <v>89100</v>
      </c>
      <c r="I18">
        <f>ROUND(Tabla5[[#This Row],[COSTO]]/0.7,0)</f>
        <v>127286</v>
      </c>
      <c r="J18" s="3">
        <f>ROUND(Tabla5[[#This Row],[P GRAN MAYOR]]/0.8,0)</f>
        <v>159108</v>
      </c>
      <c r="K18" s="3">
        <f>ROUND(Tabla5[[#This Row],[P POR MAYOR]]/(1-0.375),0)</f>
        <v>254573</v>
      </c>
    </row>
    <row r="19" spans="4:11" ht="34" x14ac:dyDescent="0.2">
      <c r="D19" s="1" t="s">
        <v>1032</v>
      </c>
      <c r="E19" s="2" t="s">
        <v>1033</v>
      </c>
      <c r="G19" s="2" t="s">
        <v>1054</v>
      </c>
      <c r="H19">
        <f>48000*0.9</f>
        <v>43200</v>
      </c>
      <c r="I19">
        <f>ROUND(Tabla5[[#This Row],[COSTO]]/0.7,0)</f>
        <v>61714</v>
      </c>
      <c r="J19" s="3">
        <f>ROUND(Tabla5[[#This Row],[P GRAN MAYOR]]/0.8,0)</f>
        <v>77143</v>
      </c>
      <c r="K19" s="3">
        <f>ROUND(Tabla5[[#This Row],[P POR MAYOR]]/(1-0.375),0)</f>
        <v>123429</v>
      </c>
    </row>
    <row r="20" spans="4:11" ht="34" x14ac:dyDescent="0.2">
      <c r="D20" s="1" t="s">
        <v>1034</v>
      </c>
      <c r="E20" s="2" t="s">
        <v>1035</v>
      </c>
      <c r="G20" s="2" t="s">
        <v>1055</v>
      </c>
      <c r="H20">
        <f>98000*0.9</f>
        <v>88200</v>
      </c>
      <c r="I20">
        <f>ROUND(Tabla5[[#This Row],[COSTO]]/0.7,0)</f>
        <v>126000</v>
      </c>
      <c r="J20" s="3">
        <f>ROUND(Tabla5[[#This Row],[P GRAN MAYOR]]/0.8,0)</f>
        <v>157500</v>
      </c>
      <c r="K20" s="3">
        <f>ROUND(Tabla5[[#This Row],[P POR MAYOR]]/(1-0.375),0)</f>
        <v>252000</v>
      </c>
    </row>
    <row r="21" spans="4:11" ht="51" x14ac:dyDescent="0.2">
      <c r="D21" s="1" t="s">
        <v>1036</v>
      </c>
      <c r="E21" s="2" t="s">
        <v>1037</v>
      </c>
      <c r="G21" s="2" t="s">
        <v>1056</v>
      </c>
      <c r="H21">
        <f>95000*0.9</f>
        <v>85500</v>
      </c>
      <c r="I21">
        <f>ROUND(Tabla5[[#This Row],[COSTO]]/0.7,0)</f>
        <v>122143</v>
      </c>
      <c r="J21" s="3">
        <f>ROUND(Tabla5[[#This Row],[P GRAN MAYOR]]/0.8,0)</f>
        <v>152679</v>
      </c>
      <c r="K21" s="3">
        <f>ROUND(Tabla5[[#This Row],[P POR MAYOR]]/(1-0.375),0)</f>
        <v>244286</v>
      </c>
    </row>
    <row r="22" spans="4:11" ht="34" x14ac:dyDescent="0.2">
      <c r="D22" s="1" t="s">
        <v>1038</v>
      </c>
      <c r="E22" s="2" t="s">
        <v>1039</v>
      </c>
      <c r="G22" s="2" t="s">
        <v>1057</v>
      </c>
      <c r="H22">
        <f>68000*0.9</f>
        <v>61200</v>
      </c>
      <c r="I22">
        <f>ROUND(Tabla5[[#This Row],[COSTO]]/0.7,0)</f>
        <v>87429</v>
      </c>
      <c r="J22" s="3">
        <f>ROUND(Tabla5[[#This Row],[P GRAN MAYOR]]/0.8,0)</f>
        <v>109286</v>
      </c>
      <c r="K22" s="3">
        <f>ROUND(Tabla5[[#This Row],[P POR MAYOR]]/(1-0.375),0)</f>
        <v>174858</v>
      </c>
    </row>
    <row r="23" spans="4:11" ht="51" x14ac:dyDescent="0.2">
      <c r="D23" s="1" t="s">
        <v>1040</v>
      </c>
      <c r="E23" s="2" t="s">
        <v>1041</v>
      </c>
      <c r="G23" s="2" t="s">
        <v>1058</v>
      </c>
      <c r="H23">
        <f>98000*0.9</f>
        <v>88200</v>
      </c>
      <c r="I23">
        <f>ROUND(Tabla5[[#This Row],[COSTO]]/0.7,0)</f>
        <v>126000</v>
      </c>
      <c r="J23" s="3">
        <f>ROUND(Tabla5[[#This Row],[P GRAN MAYOR]]/0.8,0)</f>
        <v>157500</v>
      </c>
      <c r="K23" s="3">
        <f>ROUND(Tabla5[[#This Row],[P POR MAYOR]]/(1-0.375),0)</f>
        <v>252000</v>
      </c>
    </row>
    <row r="24" spans="4:11" ht="34" x14ac:dyDescent="0.2">
      <c r="D24" s="1" t="s">
        <v>1042</v>
      </c>
      <c r="E24" s="2" t="s">
        <v>1043</v>
      </c>
      <c r="G24" s="2" t="s">
        <v>1059</v>
      </c>
      <c r="H24">
        <f>144000*0.9</f>
        <v>129600</v>
      </c>
      <c r="I24">
        <f>ROUND(Tabla5[[#This Row],[COSTO]]/0.7,0)</f>
        <v>185143</v>
      </c>
      <c r="J24" s="3">
        <f>ROUND(Tabla5[[#This Row],[P GRAN MAYOR]]/0.8,0)</f>
        <v>231429</v>
      </c>
      <c r="K24" s="3">
        <f>ROUND(Tabla5[[#This Row],[P POR MAYOR]]/(1-0.375),0)</f>
        <v>370286</v>
      </c>
    </row>
    <row r="25" spans="4:11" ht="34" x14ac:dyDescent="0.2">
      <c r="D25" s="1" t="s">
        <v>1383</v>
      </c>
      <c r="E25" s="2" t="s">
        <v>1381</v>
      </c>
      <c r="G25" s="1" t="s">
        <v>1382</v>
      </c>
      <c r="H25">
        <f>38000*0.85</f>
        <v>32300</v>
      </c>
      <c r="I25">
        <f>ROUND(Tabla5[[#This Row],[COSTO]]/0.7,0)</f>
        <v>46143</v>
      </c>
      <c r="J25" s="3">
        <f>ROUND(Tabla5[[#This Row],[P GRAN MAYOR]]/0.8,0)</f>
        <v>57679</v>
      </c>
      <c r="K25" s="3">
        <f>ROUND(Tabla5[[#This Row],[P POR MAYOR]]/(1-0.375),0)</f>
        <v>92286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12E5-D010-D649-BC2D-6D52BE39A267}">
  <dimension ref="D4:K48"/>
  <sheetViews>
    <sheetView topLeftCell="A3" zoomScale="125" workbookViewId="0">
      <selection activeCell="E5" sqref="E5"/>
    </sheetView>
  </sheetViews>
  <sheetFormatPr baseColWidth="10" defaultRowHeight="16" x14ac:dyDescent="0.2"/>
  <cols>
    <col min="4" max="4" width="29.33203125" customWidth="1"/>
    <col min="5" max="5" width="13.33203125" customWidth="1"/>
    <col min="6" max="6" width="13.5" customWidth="1"/>
    <col min="8" max="9" width="14.1640625" customWidth="1"/>
    <col min="10" max="11" width="16.33203125" customWidth="1"/>
  </cols>
  <sheetData>
    <row r="4" spans="4:11" x14ac:dyDescent="0.2">
      <c r="I4" s="20">
        <f>(I6-H6)/I6</f>
        <v>0.30000000000000004</v>
      </c>
      <c r="J4" s="20">
        <f>(J6-H6)/J6</f>
        <v>0.4399955199641597</v>
      </c>
      <c r="K4" s="20">
        <f>(K6-H6)/K6</f>
        <v>0.64999474992124884</v>
      </c>
    </row>
    <row r="5" spans="4:11" x14ac:dyDescent="0.2">
      <c r="D5" s="4" t="s">
        <v>0</v>
      </c>
      <c r="E5" s="5" t="s">
        <v>1</v>
      </c>
      <c r="F5" s="5" t="s">
        <v>2</v>
      </c>
      <c r="G5" s="5" t="s">
        <v>3</v>
      </c>
      <c r="H5" s="5" t="s">
        <v>4</v>
      </c>
      <c r="I5" s="5" t="s">
        <v>1630</v>
      </c>
      <c r="J5" s="5" t="s">
        <v>5</v>
      </c>
      <c r="K5" s="5" t="s">
        <v>1631</v>
      </c>
    </row>
    <row r="6" spans="4:11" ht="51" x14ac:dyDescent="0.2">
      <c r="D6" s="1" t="s">
        <v>1063</v>
      </c>
      <c r="E6" s="2" t="s">
        <v>1064</v>
      </c>
      <c r="F6" t="s">
        <v>1132</v>
      </c>
      <c r="H6">
        <v>20000</v>
      </c>
      <c r="I6">
        <f>Tabla8[[#This Row],[COSTO]]/0.7</f>
        <v>28571.428571428572</v>
      </c>
      <c r="J6" s="3">
        <f>ROUND(Tabla8[[#This Row],[P GRAN MAYOR]]/0.8,0)</f>
        <v>35714</v>
      </c>
      <c r="K6" s="3">
        <f>ROUND(Tabla8[[#This Row],[P POR MAYOR]]/(1-0.375),0)</f>
        <v>57142</v>
      </c>
    </row>
    <row r="7" spans="4:11" ht="34" x14ac:dyDescent="0.2">
      <c r="D7" s="1" t="s">
        <v>1065</v>
      </c>
      <c r="E7" s="2" t="s">
        <v>1066</v>
      </c>
      <c r="F7" t="s">
        <v>1133</v>
      </c>
      <c r="H7">
        <v>15000</v>
      </c>
      <c r="I7">
        <f>Tabla8[[#This Row],[COSTO]]/0.7</f>
        <v>21428.571428571431</v>
      </c>
      <c r="J7" s="3">
        <f>ROUND(Tabla8[[#This Row],[P GRAN MAYOR]]/0.8,0)</f>
        <v>26786</v>
      </c>
      <c r="K7" s="3">
        <f>ROUND(Tabla8[[#This Row],[P POR MAYOR]]/(1-0.375),0)</f>
        <v>42858</v>
      </c>
    </row>
    <row r="8" spans="4:11" ht="51" x14ac:dyDescent="0.2">
      <c r="D8" s="1" t="s">
        <v>1792</v>
      </c>
      <c r="E8" s="2" t="s">
        <v>1067</v>
      </c>
      <c r="F8" t="s">
        <v>1132</v>
      </c>
      <c r="H8">
        <v>5500</v>
      </c>
      <c r="I8">
        <f>Tabla8[[#This Row],[COSTO]]/0.7</f>
        <v>7857.1428571428578</v>
      </c>
      <c r="J8" s="3">
        <f>ROUND(Tabla8[[#This Row],[P GRAN MAYOR]]/0.8,0)</f>
        <v>9821</v>
      </c>
      <c r="K8" s="3">
        <f>ROUND(Tabla8[[#This Row],[P POR MAYOR]]/(1-0.375),0)</f>
        <v>15714</v>
      </c>
    </row>
    <row r="9" spans="4:11" ht="34" x14ac:dyDescent="0.2">
      <c r="D9" s="1" t="s">
        <v>1068</v>
      </c>
      <c r="E9" s="2" t="s">
        <v>1069</v>
      </c>
      <c r="F9" t="s">
        <v>1134</v>
      </c>
      <c r="H9">
        <v>12000</v>
      </c>
      <c r="I9">
        <f>Tabla8[[#This Row],[COSTO]]/0.7</f>
        <v>17142.857142857145</v>
      </c>
      <c r="J9" s="3">
        <f>ROUND(Tabla8[[#This Row],[P GRAN MAYOR]]/0.8,0)</f>
        <v>21429</v>
      </c>
      <c r="K9" s="3">
        <f>ROUND(Tabla8[[#This Row],[P POR MAYOR]]/(1-0.375),0)</f>
        <v>34286</v>
      </c>
    </row>
    <row r="10" spans="4:11" ht="51" x14ac:dyDescent="0.2">
      <c r="D10" s="1" t="s">
        <v>1070</v>
      </c>
      <c r="E10" s="2" t="s">
        <v>1071</v>
      </c>
      <c r="F10" t="s">
        <v>1133</v>
      </c>
      <c r="H10">
        <v>5500</v>
      </c>
      <c r="I10">
        <f>Tabla8[[#This Row],[COSTO]]/0.7</f>
        <v>7857.1428571428578</v>
      </c>
      <c r="J10" s="3">
        <f>ROUND(Tabla8[[#This Row],[P GRAN MAYOR]]/0.8,0)</f>
        <v>9821</v>
      </c>
      <c r="K10" s="3">
        <f>ROUND(Tabla8[[#This Row],[P POR MAYOR]]/(1-0.375),0)</f>
        <v>15714</v>
      </c>
    </row>
    <row r="11" spans="4:11" ht="34" x14ac:dyDescent="0.2">
      <c r="D11" s="1" t="s">
        <v>1072</v>
      </c>
      <c r="E11" s="2" t="s">
        <v>1073</v>
      </c>
      <c r="F11" t="s">
        <v>1136</v>
      </c>
      <c r="H11">
        <v>20000</v>
      </c>
      <c r="I11">
        <f>Tabla8[[#This Row],[COSTO]]/0.7</f>
        <v>28571.428571428572</v>
      </c>
      <c r="J11" s="3">
        <f>ROUND(Tabla8[[#This Row],[P GRAN MAYOR]]/0.8,0)</f>
        <v>35714</v>
      </c>
      <c r="K11" s="3">
        <f>ROUND(Tabla8[[#This Row],[P POR MAYOR]]/(1-0.375),0)</f>
        <v>57142</v>
      </c>
    </row>
    <row r="12" spans="4:11" ht="30" x14ac:dyDescent="0.2">
      <c r="D12" s="1" t="s">
        <v>1074</v>
      </c>
      <c r="E12" s="1" t="s">
        <v>1075</v>
      </c>
      <c r="F12" t="s">
        <v>1132</v>
      </c>
      <c r="H12">
        <v>20000</v>
      </c>
      <c r="I12">
        <f>Tabla8[[#This Row],[COSTO]]/0.7</f>
        <v>28571.428571428572</v>
      </c>
      <c r="J12" s="3">
        <f>ROUND(Tabla8[[#This Row],[P GRAN MAYOR]]/0.8,0)</f>
        <v>35714</v>
      </c>
      <c r="K12" s="3">
        <f>ROUND(Tabla8[[#This Row],[P POR MAYOR]]/(1-0.375),0)</f>
        <v>57142</v>
      </c>
    </row>
    <row r="13" spans="4:11" ht="34" x14ac:dyDescent="0.2">
      <c r="D13" s="1" t="s">
        <v>1076</v>
      </c>
      <c r="E13" s="2" t="s">
        <v>1077</v>
      </c>
      <c r="F13" t="s">
        <v>1133</v>
      </c>
      <c r="H13">
        <v>6800</v>
      </c>
      <c r="I13">
        <f>Tabla8[[#This Row],[COSTO]]/0.7</f>
        <v>9714.2857142857156</v>
      </c>
      <c r="J13" s="3">
        <f>ROUND(Tabla8[[#This Row],[P GRAN MAYOR]]/0.8,0)</f>
        <v>12143</v>
      </c>
      <c r="K13" s="3">
        <f>ROUND(Tabla8[[#This Row],[P POR MAYOR]]/(1-0.375),0)</f>
        <v>19429</v>
      </c>
    </row>
    <row r="14" spans="4:11" ht="34" x14ac:dyDescent="0.2">
      <c r="D14" s="1" t="s">
        <v>1078</v>
      </c>
      <c r="E14" s="2" t="s">
        <v>1079</v>
      </c>
      <c r="F14" t="s">
        <v>1132</v>
      </c>
      <c r="H14">
        <v>118</v>
      </c>
      <c r="I14" s="11">
        <f>Tabla8[[#This Row],[COSTO]]/0.7</f>
        <v>168.57142857142858</v>
      </c>
      <c r="J14" s="11">
        <f>Tabla8[[#This Row],[P GRAN MAYOR]]/0.8</f>
        <v>210.71428571428572</v>
      </c>
      <c r="K14" s="3">
        <f>ROUND(Tabla8[[#This Row],[P POR MAYOR]]/(1-0.375),0)</f>
        <v>337</v>
      </c>
    </row>
    <row r="15" spans="4:11" ht="34" x14ac:dyDescent="0.2">
      <c r="D15" s="1" t="s">
        <v>1080</v>
      </c>
      <c r="E15" s="2" t="s">
        <v>1081</v>
      </c>
      <c r="F15" t="s">
        <v>1132</v>
      </c>
      <c r="H15">
        <v>118</v>
      </c>
      <c r="I15" s="11">
        <f>Tabla8[[#This Row],[COSTO]]/0.7</f>
        <v>168.57142857142858</v>
      </c>
      <c r="J15" s="11">
        <f>Tabla8[[#This Row],[P GRAN MAYOR]]/0.8</f>
        <v>210.71428571428572</v>
      </c>
      <c r="K15" s="3">
        <f>ROUND(Tabla8[[#This Row],[P POR MAYOR]]/(1-0.375),0)</f>
        <v>337</v>
      </c>
    </row>
    <row r="16" spans="4:11" ht="34" x14ac:dyDescent="0.2">
      <c r="D16" s="1" t="s">
        <v>1082</v>
      </c>
      <c r="E16" s="2" t="s">
        <v>1083</v>
      </c>
      <c r="F16" t="s">
        <v>1132</v>
      </c>
      <c r="H16">
        <v>118</v>
      </c>
      <c r="I16" s="11">
        <f>Tabla8[[#This Row],[COSTO]]/0.7</f>
        <v>168.57142857142858</v>
      </c>
      <c r="J16" s="11">
        <f>Tabla8[[#This Row],[P GRAN MAYOR]]/0.8</f>
        <v>210.71428571428572</v>
      </c>
      <c r="K16" s="3">
        <f>ROUND(Tabla8[[#This Row],[P POR MAYOR]]/(1-0.375),0)</f>
        <v>337</v>
      </c>
    </row>
    <row r="17" spans="4:11" ht="34" x14ac:dyDescent="0.2">
      <c r="D17" s="1" t="s">
        <v>1084</v>
      </c>
      <c r="E17" s="2" t="s">
        <v>1085</v>
      </c>
      <c r="F17" t="s">
        <v>1132</v>
      </c>
      <c r="H17">
        <v>118</v>
      </c>
      <c r="I17" s="11">
        <f>Tabla8[[#This Row],[COSTO]]/0.7</f>
        <v>168.57142857142858</v>
      </c>
      <c r="J17" s="11">
        <f>Tabla8[[#This Row],[P GRAN MAYOR]]/0.8</f>
        <v>210.71428571428572</v>
      </c>
      <c r="K17" s="3">
        <f>ROUND(Tabla8[[#This Row],[P POR MAYOR]]/(1-0.375),0)</f>
        <v>337</v>
      </c>
    </row>
    <row r="18" spans="4:11" ht="34" x14ac:dyDescent="0.2">
      <c r="D18" s="1" t="s">
        <v>1086</v>
      </c>
      <c r="E18" s="2" t="s">
        <v>1087</v>
      </c>
      <c r="F18" t="s">
        <v>1135</v>
      </c>
      <c r="H18">
        <v>1550</v>
      </c>
      <c r="I18">
        <f>Tabla8[[#This Row],[COSTO]]/0.7</f>
        <v>2214.2857142857142</v>
      </c>
      <c r="J18" s="3">
        <f>ROUND(Tabla8[[#This Row],[P GRAN MAYOR]]/0.8,0)</f>
        <v>2768</v>
      </c>
      <c r="K18" s="3">
        <f>ROUND(Tabla8[[#This Row],[P POR MAYOR]]/(1-0.375),0)</f>
        <v>4429</v>
      </c>
    </row>
    <row r="19" spans="4:11" ht="51" x14ac:dyDescent="0.2">
      <c r="D19" s="1" t="s">
        <v>1088</v>
      </c>
      <c r="E19" s="2" t="s">
        <v>1089</v>
      </c>
      <c r="F19" t="s">
        <v>1137</v>
      </c>
      <c r="H19">
        <v>2500</v>
      </c>
      <c r="I19" s="11">
        <f>Tabla8[[#This Row],[COSTO]]/0.7</f>
        <v>3571.4285714285716</v>
      </c>
      <c r="J19" s="11">
        <f>Tabla8[[#This Row],[P GRAN MAYOR]]/0.8</f>
        <v>4464.2857142857138</v>
      </c>
      <c r="K19" s="3">
        <f>ROUND(Tabla8[[#This Row],[P POR MAYOR]]/(1-0.375),0)</f>
        <v>7143</v>
      </c>
    </row>
    <row r="20" spans="4:11" ht="51" x14ac:dyDescent="0.2">
      <c r="D20" s="1" t="s">
        <v>1090</v>
      </c>
      <c r="E20" s="2" t="s">
        <v>1091</v>
      </c>
      <c r="F20" t="s">
        <v>1137</v>
      </c>
      <c r="H20">
        <v>2500</v>
      </c>
      <c r="I20" s="11">
        <f>Tabla8[[#This Row],[COSTO]]/0.7</f>
        <v>3571.4285714285716</v>
      </c>
      <c r="J20" s="11">
        <f>Tabla8[[#This Row],[P GRAN MAYOR]]/0.8</f>
        <v>4464.2857142857138</v>
      </c>
      <c r="K20" s="3">
        <f>ROUND(Tabla8[[#This Row],[P POR MAYOR]]/(1-0.375),0)</f>
        <v>7143</v>
      </c>
    </row>
    <row r="21" spans="4:11" ht="51" x14ac:dyDescent="0.2">
      <c r="D21" s="1" t="s">
        <v>1092</v>
      </c>
      <c r="E21" s="2" t="s">
        <v>1093</v>
      </c>
      <c r="F21" t="s">
        <v>1137</v>
      </c>
      <c r="H21">
        <v>2300</v>
      </c>
      <c r="I21" s="11">
        <f>Tabla8[[#This Row],[COSTO]]/0.7</f>
        <v>3285.7142857142858</v>
      </c>
      <c r="J21" s="11">
        <f>Tabla8[[#This Row],[P GRAN MAYOR]]/0.8</f>
        <v>4107.1428571428569</v>
      </c>
      <c r="K21" s="3">
        <f>ROUND(Tabla8[[#This Row],[P POR MAYOR]]/(1-0.375),0)</f>
        <v>6571</v>
      </c>
    </row>
    <row r="22" spans="4:11" ht="51" x14ac:dyDescent="0.2">
      <c r="D22" s="1" t="s">
        <v>1094</v>
      </c>
      <c r="E22" s="2" t="s">
        <v>1095</v>
      </c>
      <c r="F22" t="s">
        <v>1137</v>
      </c>
      <c r="H22">
        <v>2300</v>
      </c>
      <c r="I22" s="11">
        <f>Tabla8[[#This Row],[COSTO]]/0.7</f>
        <v>3285.7142857142858</v>
      </c>
      <c r="J22" s="11">
        <f>Tabla8[[#This Row],[P GRAN MAYOR]]/0.8</f>
        <v>4107.1428571428569</v>
      </c>
      <c r="K22" s="3">
        <f>ROUND(Tabla8[[#This Row],[P POR MAYOR]]/(1-0.375),0)</f>
        <v>6571</v>
      </c>
    </row>
    <row r="23" spans="4:11" ht="34" x14ac:dyDescent="0.2">
      <c r="D23" s="1" t="s">
        <v>1096</v>
      </c>
      <c r="E23" s="2" t="s">
        <v>1097</v>
      </c>
      <c r="F23" t="s">
        <v>1133</v>
      </c>
      <c r="H23">
        <v>6800</v>
      </c>
      <c r="I23">
        <f>Tabla8[[#This Row],[COSTO]]/0.7</f>
        <v>9714.2857142857156</v>
      </c>
      <c r="J23" s="3">
        <f>ROUND(Tabla8[[#This Row],[P GRAN MAYOR]]/0.8,0)</f>
        <v>12143</v>
      </c>
      <c r="K23" s="3">
        <f>ROUND(Tabla8[[#This Row],[P POR MAYOR]]/(1-0.375),0)</f>
        <v>19429</v>
      </c>
    </row>
    <row r="24" spans="4:11" ht="34" x14ac:dyDescent="0.2">
      <c r="D24" s="1" t="s">
        <v>1098</v>
      </c>
      <c r="E24" s="2" t="s">
        <v>1099</v>
      </c>
      <c r="F24" t="s">
        <v>1135</v>
      </c>
      <c r="H24">
        <v>1150</v>
      </c>
      <c r="I24">
        <f>Tabla8[[#This Row],[COSTO]]/0.7</f>
        <v>1642.8571428571429</v>
      </c>
      <c r="J24" s="3">
        <f>ROUND(Tabla8[[#This Row],[P GRAN MAYOR]]/0.8,0)</f>
        <v>2054</v>
      </c>
      <c r="K24" s="3">
        <f>ROUND(Tabla8[[#This Row],[P POR MAYOR]]/(1-0.375),0)</f>
        <v>3286</v>
      </c>
    </row>
    <row r="25" spans="4:11" ht="30" x14ac:dyDescent="0.2">
      <c r="D25" s="1" t="s">
        <v>1100</v>
      </c>
      <c r="E25" s="1" t="s">
        <v>1101</v>
      </c>
      <c r="F25" t="s">
        <v>1133</v>
      </c>
      <c r="H25">
        <v>6800</v>
      </c>
      <c r="I25">
        <f>Tabla8[[#This Row],[COSTO]]/0.7</f>
        <v>9714.2857142857156</v>
      </c>
      <c r="J25" s="3">
        <f>ROUND(Tabla8[[#This Row],[P GRAN MAYOR]]/0.8,0)</f>
        <v>12143</v>
      </c>
      <c r="K25" s="3">
        <f>ROUND(Tabla8[[#This Row],[P POR MAYOR]]/(1-0.375),0)</f>
        <v>19429</v>
      </c>
    </row>
    <row r="26" spans="4:11" ht="30" x14ac:dyDescent="0.2">
      <c r="D26" s="1" t="s">
        <v>1102</v>
      </c>
      <c r="E26" s="1" t="s">
        <v>1103</v>
      </c>
      <c r="F26" t="s">
        <v>1133</v>
      </c>
      <c r="H26">
        <v>6800</v>
      </c>
      <c r="I26">
        <f>Tabla8[[#This Row],[COSTO]]/0.7</f>
        <v>9714.2857142857156</v>
      </c>
      <c r="J26" s="3">
        <f>ROUND(Tabla8[[#This Row],[P GRAN MAYOR]]/0.8,0)</f>
        <v>12143</v>
      </c>
      <c r="K26" s="3">
        <f>ROUND(Tabla8[[#This Row],[P POR MAYOR]]/(1-0.375),0)</f>
        <v>19429</v>
      </c>
    </row>
    <row r="27" spans="4:11" ht="45" x14ac:dyDescent="0.2">
      <c r="D27" s="1" t="s">
        <v>1104</v>
      </c>
      <c r="E27" s="1" t="s">
        <v>1105</v>
      </c>
      <c r="F27" t="s">
        <v>1133</v>
      </c>
      <c r="H27">
        <v>6800</v>
      </c>
      <c r="I27">
        <f>Tabla8[[#This Row],[COSTO]]/0.7</f>
        <v>9714.2857142857156</v>
      </c>
      <c r="J27" s="3">
        <f>ROUND(Tabla8[[#This Row],[P GRAN MAYOR]]/0.8,0)</f>
        <v>12143</v>
      </c>
      <c r="K27" s="3">
        <f>ROUND(Tabla8[[#This Row],[P POR MAYOR]]/(1-0.375),0)</f>
        <v>19429</v>
      </c>
    </row>
    <row r="28" spans="4:11" ht="45" x14ac:dyDescent="0.2">
      <c r="D28" s="1" t="s">
        <v>1106</v>
      </c>
      <c r="E28" s="1" t="s">
        <v>1107</v>
      </c>
      <c r="F28" t="s">
        <v>1133</v>
      </c>
      <c r="H28">
        <v>6800</v>
      </c>
      <c r="I28">
        <f>Tabla8[[#This Row],[COSTO]]/0.7</f>
        <v>9714.2857142857156</v>
      </c>
      <c r="J28" s="3">
        <f>ROUND(Tabla8[[#This Row],[P GRAN MAYOR]]/0.8,0)</f>
        <v>12143</v>
      </c>
      <c r="K28" s="3">
        <f>ROUND(Tabla8[[#This Row],[P POR MAYOR]]/(1-0.375),0)</f>
        <v>19429</v>
      </c>
    </row>
    <row r="29" spans="4:11" ht="30" x14ac:dyDescent="0.2">
      <c r="D29" s="1" t="s">
        <v>1108</v>
      </c>
      <c r="E29" s="1" t="s">
        <v>1109</v>
      </c>
      <c r="F29" t="s">
        <v>1133</v>
      </c>
      <c r="H29">
        <v>6800</v>
      </c>
      <c r="I29">
        <f>Tabla8[[#This Row],[COSTO]]/0.7</f>
        <v>9714.2857142857156</v>
      </c>
      <c r="J29" s="3">
        <f>ROUND(Tabla8[[#This Row],[P GRAN MAYOR]]/0.8,0)</f>
        <v>12143</v>
      </c>
      <c r="K29" s="3">
        <f>ROUND(Tabla8[[#This Row],[P POR MAYOR]]/(1-0.375),0)</f>
        <v>19429</v>
      </c>
    </row>
    <row r="30" spans="4:11" ht="30" x14ac:dyDescent="0.2">
      <c r="D30" s="1" t="s">
        <v>1110</v>
      </c>
      <c r="E30" s="1" t="s">
        <v>1111</v>
      </c>
      <c r="F30" t="s">
        <v>1133</v>
      </c>
      <c r="H30">
        <v>6800</v>
      </c>
      <c r="I30">
        <f>Tabla8[[#This Row],[COSTO]]/0.7</f>
        <v>9714.2857142857156</v>
      </c>
      <c r="J30" s="3">
        <f>ROUND(Tabla8[[#This Row],[P GRAN MAYOR]]/0.8,0)</f>
        <v>12143</v>
      </c>
      <c r="K30" s="3">
        <f>ROUND(Tabla8[[#This Row],[P POR MAYOR]]/(1-0.375),0)</f>
        <v>19429</v>
      </c>
    </row>
    <row r="31" spans="4:11" ht="30" x14ac:dyDescent="0.2">
      <c r="D31" s="1" t="s">
        <v>1112</v>
      </c>
      <c r="E31" s="1" t="s">
        <v>1113</v>
      </c>
      <c r="F31" t="s">
        <v>1133</v>
      </c>
      <c r="H31">
        <v>6800</v>
      </c>
      <c r="I31">
        <f>Tabla8[[#This Row],[COSTO]]/0.7</f>
        <v>9714.2857142857156</v>
      </c>
      <c r="J31" s="3">
        <f>ROUND(Tabla8[[#This Row],[P GRAN MAYOR]]/0.8,0)</f>
        <v>12143</v>
      </c>
      <c r="K31" s="3">
        <f>ROUND(Tabla8[[#This Row],[P POR MAYOR]]/(1-0.375),0)</f>
        <v>19429</v>
      </c>
    </row>
    <row r="32" spans="4:11" ht="30" x14ac:dyDescent="0.2">
      <c r="D32" s="1" t="s">
        <v>1114</v>
      </c>
      <c r="E32" s="1" t="s">
        <v>1115</v>
      </c>
      <c r="F32" t="s">
        <v>1133</v>
      </c>
      <c r="H32">
        <v>6800</v>
      </c>
      <c r="I32">
        <f>Tabla8[[#This Row],[COSTO]]/0.7</f>
        <v>9714.2857142857156</v>
      </c>
      <c r="J32" s="3">
        <f>ROUND(Tabla8[[#This Row],[P GRAN MAYOR]]/0.8,0)</f>
        <v>12143</v>
      </c>
      <c r="K32" s="3">
        <f>ROUND(Tabla8[[#This Row],[P POR MAYOR]]/(1-0.375),0)</f>
        <v>19429</v>
      </c>
    </row>
    <row r="33" spans="4:11" ht="30" x14ac:dyDescent="0.2">
      <c r="D33" s="1" t="s">
        <v>1116</v>
      </c>
      <c r="E33" s="1" t="s">
        <v>1117</v>
      </c>
      <c r="F33" t="s">
        <v>1133</v>
      </c>
      <c r="H33">
        <v>6800</v>
      </c>
      <c r="I33">
        <f>Tabla8[[#This Row],[COSTO]]/0.7</f>
        <v>9714.2857142857156</v>
      </c>
      <c r="J33" s="3">
        <f>ROUND(Tabla8[[#This Row],[P GRAN MAYOR]]/0.8,0)</f>
        <v>12143</v>
      </c>
      <c r="K33" s="3">
        <f>ROUND(Tabla8[[#This Row],[P POR MAYOR]]/(1-0.375),0)</f>
        <v>19429</v>
      </c>
    </row>
    <row r="34" spans="4:11" ht="30" x14ac:dyDescent="0.2">
      <c r="D34" s="1" t="s">
        <v>1118</v>
      </c>
      <c r="E34" s="1" t="s">
        <v>1119</v>
      </c>
      <c r="F34" t="s">
        <v>1132</v>
      </c>
      <c r="H34">
        <v>118</v>
      </c>
      <c r="I34" s="11">
        <f>Tabla8[[#This Row],[COSTO]]/0.7</f>
        <v>168.57142857142858</v>
      </c>
      <c r="J34" s="11">
        <f>Tabla8[[#This Row],[P GRAN MAYOR]]/0.8</f>
        <v>210.71428571428572</v>
      </c>
      <c r="K34" s="3">
        <f>ROUND(Tabla8[[#This Row],[P POR MAYOR]]/(1-0.375),0)</f>
        <v>337</v>
      </c>
    </row>
    <row r="35" spans="4:11" ht="30" x14ac:dyDescent="0.2">
      <c r="D35" s="1" t="s">
        <v>1120</v>
      </c>
      <c r="E35" s="1" t="s">
        <v>1121</v>
      </c>
      <c r="F35" t="s">
        <v>1132</v>
      </c>
      <c r="H35">
        <v>118</v>
      </c>
      <c r="I35" s="11">
        <f>Tabla8[[#This Row],[COSTO]]/0.7</f>
        <v>168.57142857142858</v>
      </c>
      <c r="J35" s="11">
        <f>Tabla8[[#This Row],[P GRAN MAYOR]]/0.8</f>
        <v>210.71428571428572</v>
      </c>
      <c r="K35" s="3">
        <f>ROUND(Tabla8[[#This Row],[P POR MAYOR]]/(1-0.375),0)</f>
        <v>337</v>
      </c>
    </row>
    <row r="36" spans="4:11" ht="30" x14ac:dyDescent="0.2">
      <c r="D36" s="1" t="s">
        <v>1122</v>
      </c>
      <c r="E36" s="1" t="s">
        <v>1123</v>
      </c>
      <c r="F36" t="s">
        <v>1132</v>
      </c>
      <c r="H36">
        <v>118</v>
      </c>
      <c r="I36" s="11">
        <f>Tabla8[[#This Row],[COSTO]]/0.7</f>
        <v>168.57142857142858</v>
      </c>
      <c r="J36" s="11">
        <f>Tabla8[[#This Row],[P GRAN MAYOR]]/0.8</f>
        <v>210.71428571428572</v>
      </c>
      <c r="K36" s="3">
        <f>ROUND(Tabla8[[#This Row],[P POR MAYOR]]/(1-0.375),0)</f>
        <v>337</v>
      </c>
    </row>
    <row r="37" spans="4:11" ht="45" x14ac:dyDescent="0.2">
      <c r="D37" s="1" t="s">
        <v>1124</v>
      </c>
      <c r="E37" s="1" t="s">
        <v>1125</v>
      </c>
      <c r="F37" t="s">
        <v>1137</v>
      </c>
      <c r="H37">
        <v>2300</v>
      </c>
      <c r="I37" s="11">
        <f>Tabla8[[#This Row],[COSTO]]/0.7</f>
        <v>3285.7142857142858</v>
      </c>
      <c r="J37" s="11">
        <f>Tabla8[[#This Row],[P GRAN MAYOR]]/0.8</f>
        <v>4107.1428571428569</v>
      </c>
      <c r="K37" s="3">
        <f>ROUND(Tabla8[[#This Row],[P POR MAYOR]]/(1-0.375),0)</f>
        <v>6571</v>
      </c>
    </row>
    <row r="38" spans="4:11" ht="30" x14ac:dyDescent="0.2">
      <c r="D38" s="1" t="s">
        <v>1126</v>
      </c>
      <c r="E38" s="1" t="s">
        <v>1127</v>
      </c>
      <c r="F38" t="s">
        <v>1132</v>
      </c>
      <c r="H38">
        <v>118</v>
      </c>
      <c r="I38" s="11">
        <f>Tabla8[[#This Row],[COSTO]]/0.7</f>
        <v>168.57142857142858</v>
      </c>
      <c r="J38" s="11">
        <f>Tabla8[[#This Row],[P GRAN MAYOR]]/0.8</f>
        <v>210.71428571428572</v>
      </c>
      <c r="K38" s="3">
        <f>ROUND(Tabla8[[#This Row],[P POR MAYOR]]/(1-0.375),0)</f>
        <v>337</v>
      </c>
    </row>
    <row r="39" spans="4:11" ht="30" x14ac:dyDescent="0.2">
      <c r="D39" s="1" t="s">
        <v>1128</v>
      </c>
      <c r="E39" s="1" t="s">
        <v>1129</v>
      </c>
      <c r="F39" t="s">
        <v>1132</v>
      </c>
      <c r="H39">
        <v>118</v>
      </c>
      <c r="I39" s="11">
        <f>Tabla8[[#This Row],[COSTO]]/0.7</f>
        <v>168.57142857142858</v>
      </c>
      <c r="J39" s="11">
        <f>Tabla8[[#This Row],[P GRAN MAYOR]]/0.8</f>
        <v>210.71428571428572</v>
      </c>
      <c r="K39" s="3">
        <f>ROUND(Tabla8[[#This Row],[P POR MAYOR]]/(1-0.375),0)</f>
        <v>337</v>
      </c>
    </row>
    <row r="40" spans="4:11" ht="34" x14ac:dyDescent="0.2">
      <c r="D40" s="1" t="s">
        <v>1130</v>
      </c>
      <c r="E40" s="2" t="s">
        <v>1131</v>
      </c>
      <c r="F40" t="s">
        <v>1136</v>
      </c>
      <c r="H40">
        <v>35000</v>
      </c>
      <c r="I40">
        <f>Tabla8[[#This Row],[COSTO]]/0.7</f>
        <v>50000</v>
      </c>
      <c r="J40" s="3">
        <f>ROUND(Tabla8[[#This Row],[P GRAN MAYOR]]/0.8,0)</f>
        <v>62500</v>
      </c>
      <c r="K40" s="3">
        <f>ROUND(Tabla8[[#This Row],[P POR MAYOR]]/(1-0.375),0)</f>
        <v>100000</v>
      </c>
    </row>
    <row r="41" spans="4:11" x14ac:dyDescent="0.2">
      <c r="D41" s="1" t="s">
        <v>1385</v>
      </c>
      <c r="E41" s="1" t="s">
        <v>1384</v>
      </c>
      <c r="F41" t="s">
        <v>1386</v>
      </c>
      <c r="H41">
        <v>5600</v>
      </c>
      <c r="I41">
        <f>Tabla8[[#This Row],[COSTO]]/0.7</f>
        <v>8000.0000000000009</v>
      </c>
      <c r="J41" s="3">
        <f>ROUND(Tabla8[[#This Row],[P GRAN MAYOR]]/0.8,0)</f>
        <v>10000</v>
      </c>
      <c r="K41" s="3">
        <f>ROUND(Tabla8[[#This Row],[P POR MAYOR]]/(1-0.375),0)</f>
        <v>16000</v>
      </c>
    </row>
    <row r="42" spans="4:11" ht="30" x14ac:dyDescent="0.2">
      <c r="D42" s="1" t="s">
        <v>1388</v>
      </c>
      <c r="E42" s="1" t="s">
        <v>1387</v>
      </c>
      <c r="F42" t="s">
        <v>1135</v>
      </c>
      <c r="H42">
        <v>1000</v>
      </c>
      <c r="I42">
        <f>Tabla8[[#This Row],[COSTO]]/0.7</f>
        <v>1428.5714285714287</v>
      </c>
      <c r="J42" s="3">
        <f>ROUND(Tabla8[[#This Row],[P GRAN MAYOR]]/0.8,0)</f>
        <v>1786</v>
      </c>
      <c r="K42" s="3">
        <f>ROUND(Tabla8[[#This Row],[P POR MAYOR]]/(1-0.375),0)</f>
        <v>2858</v>
      </c>
    </row>
    <row r="43" spans="4:11" ht="30" x14ac:dyDescent="0.2">
      <c r="D43" s="1" t="s">
        <v>1389</v>
      </c>
      <c r="E43" s="1" t="s">
        <v>1390</v>
      </c>
      <c r="F43" t="s">
        <v>1135</v>
      </c>
      <c r="H43">
        <v>1000</v>
      </c>
      <c r="I43">
        <f>Tabla8[[#This Row],[COSTO]]/0.7</f>
        <v>1428.5714285714287</v>
      </c>
      <c r="J43" s="3">
        <f>ROUND(Tabla8[[#This Row],[P GRAN MAYOR]]/0.8,0)</f>
        <v>1786</v>
      </c>
      <c r="K43" s="3">
        <f>ROUND(Tabla8[[#This Row],[P POR MAYOR]]/(1-0.375),0)</f>
        <v>2858</v>
      </c>
    </row>
    <row r="44" spans="4:11" ht="30" x14ac:dyDescent="0.2">
      <c r="D44" s="1" t="s">
        <v>1391</v>
      </c>
      <c r="E44" s="1" t="s">
        <v>1392</v>
      </c>
      <c r="F44" t="s">
        <v>1135</v>
      </c>
      <c r="H44">
        <f>14400/12</f>
        <v>1200</v>
      </c>
      <c r="I44">
        <f>Tabla8[[#This Row],[COSTO]]/0.7</f>
        <v>1714.2857142857144</v>
      </c>
      <c r="J44" s="3">
        <f>ROUND(Tabla8[[#This Row],[P GRAN MAYOR]]/0.8,0)</f>
        <v>2143</v>
      </c>
      <c r="K44" s="3">
        <f>ROUND(Tabla8[[#This Row],[P POR MAYOR]]/(1-0.375),0)</f>
        <v>3429</v>
      </c>
    </row>
    <row r="45" spans="4:11" ht="30" x14ac:dyDescent="0.2">
      <c r="D45" s="1" t="s">
        <v>1393</v>
      </c>
      <c r="E45" s="1" t="s">
        <v>1395</v>
      </c>
      <c r="H45">
        <v>1200</v>
      </c>
      <c r="I45">
        <f>Tabla8[[#This Row],[COSTO]]/0.7</f>
        <v>1714.2857142857144</v>
      </c>
      <c r="J45" s="3">
        <f>ROUND(Tabla8[[#This Row],[P GRAN MAYOR]]/0.8,0)</f>
        <v>2143</v>
      </c>
      <c r="K45" s="3">
        <f>ROUND(Tabla8[[#This Row],[P POR MAYOR]]/(1-0.375),0)</f>
        <v>3429</v>
      </c>
    </row>
    <row r="46" spans="4:11" ht="30" x14ac:dyDescent="0.2">
      <c r="D46" s="1" t="s">
        <v>1394</v>
      </c>
      <c r="E46" s="1" t="s">
        <v>1396</v>
      </c>
      <c r="H46">
        <v>2200</v>
      </c>
      <c r="I46">
        <f>Tabla8[[#This Row],[COSTO]]/0.7</f>
        <v>3142.8571428571431</v>
      </c>
      <c r="J46" s="3">
        <f>ROUND(Tabla8[[#This Row],[P GRAN MAYOR]]/0.8,0)</f>
        <v>3929</v>
      </c>
      <c r="K46" s="3">
        <f>ROUND(Tabla8[[#This Row],[P POR MAYOR]]/(1-0.375),0)</f>
        <v>6286</v>
      </c>
    </row>
    <row r="47" spans="4:11" ht="30" x14ac:dyDescent="0.2">
      <c r="D47" s="1" t="s">
        <v>1397</v>
      </c>
      <c r="E47" s="1" t="s">
        <v>1400</v>
      </c>
      <c r="F47" t="s">
        <v>1133</v>
      </c>
      <c r="H47">
        <v>6800</v>
      </c>
      <c r="I47">
        <f>Tabla8[[#This Row],[COSTO]]/0.7</f>
        <v>9714.2857142857156</v>
      </c>
      <c r="J47" s="3">
        <f>ROUND(Tabla8[[#This Row],[P GRAN MAYOR]]/0.8,0)</f>
        <v>12143</v>
      </c>
      <c r="K47" s="3">
        <f>ROUND(Tabla8[[#This Row],[P POR MAYOR]]/(1-0.375),0)</f>
        <v>19429</v>
      </c>
    </row>
    <row r="48" spans="4:11" ht="30" x14ac:dyDescent="0.2">
      <c r="D48" s="1" t="s">
        <v>1398</v>
      </c>
      <c r="E48" s="1" t="s">
        <v>1399</v>
      </c>
      <c r="F48" t="s">
        <v>1133</v>
      </c>
      <c r="H48">
        <v>6800</v>
      </c>
      <c r="I48">
        <f>Tabla8[[#This Row],[COSTO]]/0.7</f>
        <v>9714.2857142857156</v>
      </c>
      <c r="J48" s="3">
        <f>ROUND(Tabla8[[#This Row],[P GRAN MAYOR]]/0.8,0)</f>
        <v>12143</v>
      </c>
      <c r="K48" s="3">
        <f>ROUND(Tabla8[[#This Row],[P POR MAYOR]]/(1-0.375),0)</f>
        <v>19429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TOPOS Y CANDONGAS</vt:lpstr>
      <vt:lpstr>HERRAJES</vt:lpstr>
      <vt:lpstr>BALINERIA</vt:lpstr>
      <vt:lpstr>DIJES</vt:lpstr>
      <vt:lpstr>CADENERIA</vt:lpstr>
      <vt:lpstr>PULSERAS</vt:lpstr>
      <vt:lpstr>TOBILLERAS</vt:lpstr>
      <vt:lpstr>INSUMOS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Gomez Paez</dc:creator>
  <cp:lastModifiedBy>Jose David Gomez Paez</cp:lastModifiedBy>
  <dcterms:created xsi:type="dcterms:W3CDTF">2026-02-13T15:32:50Z</dcterms:created>
  <dcterms:modified xsi:type="dcterms:W3CDTF">2026-06-25T03:02:40Z</dcterms:modified>
</cp:coreProperties>
</file>